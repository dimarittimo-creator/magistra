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i" sheetId="1" state="visible" r:id="rId3"/>
    <sheet name="Anteprima prezzi" sheetId="2" state="visible" r:id="rId4"/>
    <sheet name="Da sistemare" sheetId="3" state="visible" r:id="rId5"/>
  </sheets>
  <definedNames>
    <definedName function="false" hidden="true" localSheetId="1" name="_xlnm._FilterDatabase" vbProcedure="false">'Anteprima prezzi'!$A$1:$P$65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<sst xmlns="http://schemas.openxmlformats.org/spreadsheetml/2006/main" count="255" uniqueCount="193">
  <si>
    <t xml:space="preserve">Parametri sconti e IVA – modificare solo le celle gialle</t>
  </si>
  <si>
    <t xml:space="preserve">Data di riferimento per il calcolo della scadenza</t>
  </si>
  <si>
    <t xml:space="preserve">Formula: si aggiorna ogni giorno. Si può sostituire con una data fissa.</t>
  </si>
  <si>
    <t xml:space="preserve">Aliquota IVA predefinita</t>
  </si>
  <si>
    <t xml:space="preserve">Indicata da Salvatore. Le eccezioni si scrivono a mano nella colonna IVA del foglio prezzi.</t>
  </si>
  <si>
    <t xml:space="preserve">Fasce di sconto sul prezzo al pubblico</t>
  </si>
  <si>
    <t xml:space="preserve">Fascia</t>
  </si>
  <si>
    <t xml:space="preserve">Scadenza almeno a (mesi)</t>
  </si>
  <si>
    <t xml:space="preserve">Sconto</t>
  </si>
  <si>
    <t xml:space="preserve">Fascia 1 – scadenza lunga</t>
  </si>
  <si>
    <t xml:space="preserve">Fascia 2 – scadenza media</t>
  </si>
  <si>
    <t xml:space="preserve">Fascia 3 – scadenza breve (sotto la fascia 2)</t>
  </si>
  <si>
    <t xml:space="preserve">Valori indicati da Salvatore il 28/09/2026: almeno 8 mesi 38%, da 6 a meno di 8 mesi 40%, sotto 6 mesi 45%.</t>
  </si>
  <si>
    <t xml:space="preserve">Il prezzo del listino è il prezzo al pubblico IVA inclusa; il prezzo farmacia IVA esclusa = prezzo al pubblico × (1 − sconto) ÷ (1 + IVA).</t>
  </si>
  <si>
    <t xml:space="preserve">Se la somma dei lotti non coincide con il totale del prodotto, tutto il prodotto è mancante temporaneamente. I lotti senza scadenza risultano mancanti; quelli scaduti non sono vendibili.</t>
  </si>
  <si>
    <t xml:space="preserve">Codice</t>
  </si>
  <si>
    <t xml:space="preserve">Prodotto</t>
  </si>
  <si>
    <t xml:space="preserve">Lotto</t>
  </si>
  <si>
    <t xml:space="preserve">Scadenza</t>
  </si>
  <si>
    <t xml:space="preserve">Pezzi</t>
  </si>
  <si>
    <t xml:space="preserve">Mesi residui</t>
  </si>
  <si>
    <t xml:space="preserve">Stato</t>
  </si>
  <si>
    <t xml:space="preserve">Prezzo pubblico IVA incl.</t>
  </si>
  <si>
    <t xml:space="preserve">IVA</t>
  </si>
  <si>
    <t xml:space="preserve">Prezzo pubblico IVA escl.</t>
  </si>
  <si>
    <t xml:space="preserve">Prezzo farmacia IVA incl.</t>
  </si>
  <si>
    <t xml:space="preserve">Prezzo farmacia IVA escl.</t>
  </si>
  <si>
    <t xml:space="preserve">Valore lotto IVA escl.</t>
  </si>
  <si>
    <t xml:space="preserve">Totale prodotto dichiarato</t>
  </si>
  <si>
    <t xml:space="preserve">Somma lotti</t>
  </si>
  <si>
    <t xml:space="preserve">983389420</t>
  </si>
  <si>
    <t xml:space="preserve">ADEGEN 10BUST</t>
  </si>
  <si>
    <t xml:space="preserve">L-03</t>
  </si>
  <si>
    <t xml:space="preserve">939130706</t>
  </si>
  <si>
    <t xml:space="preserve">ALVIOS 30CPR</t>
  </si>
  <si>
    <t xml:space="preserve">2500005</t>
  </si>
  <si>
    <t xml:space="preserve">921178240</t>
  </si>
  <si>
    <t xml:space="preserve">ANGEREX 600 20CPR</t>
  </si>
  <si>
    <t xml:space="preserve">A4284</t>
  </si>
  <si>
    <t xml:space="preserve">a6082</t>
  </si>
  <si>
    <t xml:space="preserve">977259187</t>
  </si>
  <si>
    <t xml:space="preserve">APSTEROL 50CPR</t>
  </si>
  <si>
    <t xml:space="preserve">6215</t>
  </si>
  <si>
    <t xml:space="preserve">950220095</t>
  </si>
  <si>
    <t xml:space="preserve">ASERA 20CPR</t>
  </si>
  <si>
    <t xml:space="preserve">6709</t>
  </si>
  <si>
    <t xml:space="preserve">923359463</t>
  </si>
  <si>
    <t xml:space="preserve">ASERA GOCCE 10ML</t>
  </si>
  <si>
    <t xml:space="preserve">6710</t>
  </si>
  <si>
    <t xml:space="preserve">971302942</t>
  </si>
  <si>
    <t xml:space="preserve">BIOUMOREX 30CPS</t>
  </si>
  <si>
    <t xml:space="preserve">2500040</t>
  </si>
  <si>
    <t xml:space="preserve">986005460</t>
  </si>
  <si>
    <t xml:space="preserve">ELIVID 60CPR</t>
  </si>
  <si>
    <t xml:space="preserve">l-03</t>
  </si>
  <si>
    <t xml:space="preserve">l-04</t>
  </si>
  <si>
    <t xml:space="preserve">984734400</t>
  </si>
  <si>
    <t xml:space="preserve">EMANGIOVAX 30CPR</t>
  </si>
  <si>
    <t xml:space="preserve">A5492</t>
  </si>
  <si>
    <t xml:space="preserve">a6137</t>
  </si>
  <si>
    <t xml:space="preserve">925328155</t>
  </si>
  <si>
    <t xml:space="preserve">EMICRON 20CPR</t>
  </si>
  <si>
    <t xml:space="preserve">2400017</t>
  </si>
  <si>
    <t xml:space="preserve">2600168</t>
  </si>
  <si>
    <t xml:space="preserve">950071415</t>
  </si>
  <si>
    <t xml:space="preserve">FORTIRENE 200 200ML</t>
  </si>
  <si>
    <t xml:space="preserve">5603</t>
  </si>
  <si>
    <t xml:space="preserve">989877079</t>
  </si>
  <si>
    <t xml:space="preserve">INFANTUSS 200ML</t>
  </si>
  <si>
    <t xml:space="preserve">5346</t>
  </si>
  <si>
    <t xml:space="preserve">973362813</t>
  </si>
  <si>
    <t xml:space="preserve">LACTOREPENS 60CPR</t>
  </si>
  <si>
    <t xml:space="preserve">2400509</t>
  </si>
  <si>
    <t xml:space="preserve">2600169</t>
  </si>
  <si>
    <t xml:space="preserve">921535086</t>
  </si>
  <si>
    <t xml:space="preserve">LINGAM 30CPR</t>
  </si>
  <si>
    <t xml:space="preserve">2400432</t>
  </si>
  <si>
    <t xml:space="preserve">975588955</t>
  </si>
  <si>
    <t xml:space="preserve">LONGEREX 30BUST 4G</t>
  </si>
  <si>
    <t xml:space="preserve">5003/31</t>
  </si>
  <si>
    <t xml:space="preserve">990071577</t>
  </si>
  <si>
    <t xml:space="preserve">LONGEREX ATP 20CPS</t>
  </si>
  <si>
    <t xml:space="preserve">l-01</t>
  </si>
  <si>
    <t xml:space="preserve">l-02</t>
  </si>
  <si>
    <t xml:space="preserve">925328167</t>
  </si>
  <si>
    <t xml:space="preserve">MICROLIT 20BUST</t>
  </si>
  <si>
    <t xml:space="preserve">5063/04</t>
  </si>
  <si>
    <t xml:space="preserve">6007/01</t>
  </si>
  <si>
    <t xml:space="preserve">983389432</t>
  </si>
  <si>
    <t xml:space="preserve">MODIR 14CPS</t>
  </si>
  <si>
    <t xml:space="preserve">md-04</t>
  </si>
  <si>
    <t xml:space="preserve">984858720</t>
  </si>
  <si>
    <t xml:space="preserve">NEO ALGISIN 20CPR</t>
  </si>
  <si>
    <t xml:space="preserve">5517</t>
  </si>
  <si>
    <t xml:space="preserve">990411959</t>
  </si>
  <si>
    <t xml:space="preserve">NEUROCRIN L 30CPS</t>
  </si>
  <si>
    <t xml:space="preserve">L-01</t>
  </si>
  <si>
    <t xml:space="preserve">923813695</t>
  </si>
  <si>
    <t xml:space="preserve">NEUROPROTEX 15CPR</t>
  </si>
  <si>
    <t xml:space="preserve">2500479</t>
  </si>
  <si>
    <t xml:space="preserve">2600076</t>
  </si>
  <si>
    <t xml:space="preserve">983528112</t>
  </si>
  <si>
    <t xml:space="preserve">NEUROPROTEX GOCCE 30ML</t>
  </si>
  <si>
    <t xml:space="preserve">7437</t>
  </si>
  <si>
    <t xml:space="preserve">971677188</t>
  </si>
  <si>
    <t xml:space="preserve">NEUROSTART 20CPR</t>
  </si>
  <si>
    <t xml:space="preserve">2500478</t>
  </si>
  <si>
    <t xml:space="preserve">989630734</t>
  </si>
  <si>
    <t xml:space="preserve">NIAGARA COLLUTORIO 200ML</t>
  </si>
  <si>
    <t xml:space="preserve">21624-1</t>
  </si>
  <si>
    <t xml:space="preserve">987038534</t>
  </si>
  <si>
    <t xml:space="preserve">OMEGAREX 20STICK PACK</t>
  </si>
  <si>
    <t xml:space="preserve">5660</t>
  </si>
  <si>
    <t xml:space="preserve">951330404</t>
  </si>
  <si>
    <t xml:space="preserve">PEAREX 20CPR</t>
  </si>
  <si>
    <t xml:space="preserve">951048204</t>
  </si>
  <si>
    <t xml:space="preserve">POSI' 30BUST</t>
  </si>
  <si>
    <t xml:space="preserve">990071589</t>
  </si>
  <si>
    <t xml:space="preserve">POSI' VITA 30CPR</t>
  </si>
  <si>
    <t xml:space="preserve">973605292</t>
  </si>
  <si>
    <t xml:space="preserve">PRIMUS 10FLACONCINI</t>
  </si>
  <si>
    <t xml:space="preserve">6712</t>
  </si>
  <si>
    <t xml:space="preserve">984638066</t>
  </si>
  <si>
    <t xml:space="preserve">PRIMUS 300ML</t>
  </si>
  <si>
    <t xml:space="preserve">6330</t>
  </si>
  <si>
    <t xml:space="preserve">7665</t>
  </si>
  <si>
    <t xml:space="preserve">990071591</t>
  </si>
  <si>
    <t xml:space="preserve">PRIMUS FITO 20CPS</t>
  </si>
  <si>
    <t xml:space="preserve">988258784</t>
  </si>
  <si>
    <t xml:space="preserve">PRIMUS TASK 10STICKPACK</t>
  </si>
  <si>
    <t xml:space="preserve">5520</t>
  </si>
  <si>
    <t xml:space="preserve">7441</t>
  </si>
  <si>
    <t xml:space="preserve">989631991</t>
  </si>
  <si>
    <t xml:space="preserve">REGENERIS EMULGEL CR CICATRICI</t>
  </si>
  <si>
    <t xml:space="preserve">5147</t>
  </si>
  <si>
    <t xml:space="preserve">921423051</t>
  </si>
  <si>
    <t xml:space="preserve">RELAMI 20CPR</t>
  </si>
  <si>
    <t xml:space="preserve">7123</t>
  </si>
  <si>
    <t xml:space="preserve">7442</t>
  </si>
  <si>
    <t xml:space="preserve">971068681</t>
  </si>
  <si>
    <t xml:space="preserve">RIPARASE CREMA 50ML</t>
  </si>
  <si>
    <t xml:space="preserve">L78</t>
  </si>
  <si>
    <t xml:space="preserve">979399161</t>
  </si>
  <si>
    <t xml:space="preserve">RIPARASE PLUS CREMA 100ML</t>
  </si>
  <si>
    <t xml:space="preserve">10p</t>
  </si>
  <si>
    <t xml:space="preserve">912454333</t>
  </si>
  <si>
    <t xml:space="preserve">SAGEPA B 30CPR</t>
  </si>
  <si>
    <t xml:space="preserve">7666</t>
  </si>
  <si>
    <t xml:space="preserve">8432</t>
  </si>
  <si>
    <t xml:space="preserve">905176968</t>
  </si>
  <si>
    <t xml:space="preserve">SAGEVIT 30CPR</t>
  </si>
  <si>
    <t xml:space="preserve">2500302</t>
  </si>
  <si>
    <t xml:space="preserve">2600218</t>
  </si>
  <si>
    <t xml:space="preserve">987965276</t>
  </si>
  <si>
    <t xml:space="preserve">SAGEVIT OVER 50 30CPR</t>
  </si>
  <si>
    <t xml:space="preserve">2500303</t>
  </si>
  <si>
    <t xml:space="preserve">2600217</t>
  </si>
  <si>
    <t xml:space="preserve">950220083</t>
  </si>
  <si>
    <t xml:space="preserve">SEREDOR 20CPR</t>
  </si>
  <si>
    <t xml:space="preserve">5659</t>
  </si>
  <si>
    <t xml:space="preserve">989873233</t>
  </si>
  <si>
    <t xml:space="preserve">SEREDOR GOCCE 10ML</t>
  </si>
  <si>
    <t xml:space="preserve">5513</t>
  </si>
  <si>
    <t xml:space="preserve">989851516</t>
  </si>
  <si>
    <t xml:space="preserve">SPARTA PAPPA REALE 10STICKPACK</t>
  </si>
  <si>
    <t xml:space="preserve">5344</t>
  </si>
  <si>
    <t xml:space="preserve">981152756</t>
  </si>
  <si>
    <t xml:space="preserve">TADIOR 20CPS</t>
  </si>
  <si>
    <t xml:space="preserve">l-08</t>
  </si>
  <si>
    <t xml:space="preserve">979848114</t>
  </si>
  <si>
    <t xml:space="preserve">TRIALSID 20CPR 850MG</t>
  </si>
  <si>
    <t xml:space="preserve">6381</t>
  </si>
  <si>
    <t xml:space="preserve">7443</t>
  </si>
  <si>
    <t xml:space="preserve">930017405</t>
  </si>
  <si>
    <t xml:space="preserve">VENOSELLE 20CPR</t>
  </si>
  <si>
    <t xml:space="preserve">3903</t>
  </si>
  <si>
    <t xml:space="preserve">990071615</t>
  </si>
  <si>
    <t xml:space="preserve">VERTIS FAST GOCCE 30ML</t>
  </si>
  <si>
    <t xml:space="preserve">989851528</t>
  </si>
  <si>
    <t xml:space="preserve">VITABIM 200ML</t>
  </si>
  <si>
    <t xml:space="preserve">5345</t>
  </si>
  <si>
    <t xml:space="preserve">Totali</t>
  </si>
  <si>
    <t xml:space="preserve">Blu = dati importati (giacenza del 21/09/2026 e listino). IVA: formula sul valore predefinito, per un'eccezione scrivere a mano l'aliquota nella cella.</t>
  </si>
  <si>
    <t xml:space="preserve">Problema</t>
  </si>
  <si>
    <t xml:space="preserve">Cosa succede nel portale</t>
  </si>
  <si>
    <t xml:space="preserve">Lotti 297 + 2.020 = 2.317, totale prodotto 2.314</t>
  </si>
  <si>
    <t xml:space="preserve">Prodotto mancante temporaneamente finché lotti e totale non coincidono</t>
  </si>
  <si>
    <t xml:space="preserve">RIPARASE CREMA 50ML (lotto L78)</t>
  </si>
  <si>
    <t xml:space="preserve">Senza data di scadenza</t>
  </si>
  <si>
    <t xml:space="preserve">Mostrato come mancante</t>
  </si>
  <si>
    <t xml:space="preserve">RIPARASE PLUS CREMA 100ML (lotto 10p)</t>
  </si>
  <si>
    <t xml:space="preserve">Prezzo al pubblico assente nel listino</t>
  </si>
  <si>
    <t xml:space="preserve">Non visibile alle farmacie finché non si inserisce il prezzo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</si>
</sst>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%"/>
    <numFmt numFmtId="167" formatCode="#,##0.00&quot; €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5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true">TODAY()</f>
        <v>46293</v>
      </c>
      <c r="C3" s="4" t="s">
        <v>2</v>
      </c>
    </row>
    <row r="4" customFormat="false" ht="15" hidden="false" customHeight="false" outlineLevel="0" collapsed="false">
      <c r="A4" s="2" t="s">
        <v>3</v>
      </c>
      <c r="B4" s="5" t="n">
        <v>0.1</v>
      </c>
      <c r="C4" s="4" t="s">
        <v>4</v>
      </c>
    </row>
    <row r="7" customFormat="false" ht="15" hidden="false" customHeight="false" outlineLevel="0" collapsed="false">
      <c r="A7" s="6" t="s">
        <v>5</v>
      </c>
    </row>
    <row r="8" customFormat="false" ht="15" hidden="false" customHeight="false" outlineLevel="0" collapsed="false">
      <c r="A8" s="7" t="s">
        <v>6</v>
      </c>
      <c r="B8" s="7" t="s">
        <v>7</v>
      </c>
      <c r="C8" s="7" t="s">
        <v>8</v>
      </c>
    </row>
    <row r="9" customFormat="false" ht="15" hidden="false" customHeight="false" outlineLevel="0" collapsed="false">
      <c r="A9" s="2" t="s">
        <v>9</v>
      </c>
      <c r="B9" s="8" t="n">
        <v>8</v>
      </c>
      <c r="C9" s="5" t="n">
        <v>0.38</v>
      </c>
    </row>
    <row r="10" customFormat="false" ht="15" hidden="false" customHeight="false" outlineLevel="0" collapsed="false">
      <c r="A10" s="2" t="s">
        <v>10</v>
      </c>
      <c r="B10" s="8" t="n">
        <v>6</v>
      </c>
      <c r="C10" s="5" t="n">
        <v>0.4</v>
      </c>
    </row>
    <row r="11" customFormat="false" ht="15" hidden="false" customHeight="false" outlineLevel="0" collapsed="false">
      <c r="A11" s="2" t="s">
        <v>11</v>
      </c>
      <c r="B11" s="8" t="n">
        <v>0</v>
      </c>
      <c r="C11" s="5" t="n">
        <v>0.45</v>
      </c>
    </row>
    <row r="13" customFormat="false" ht="15" hidden="false" customHeight="false" outlineLevel="0" collapsed="false">
      <c r="A13" s="4" t="s">
        <v>12</v>
      </c>
    </row>
    <row r="14" customFormat="false" ht="15" hidden="false" customHeight="false" outlineLevel="0" collapsed="false">
      <c r="A14" s="4" t="s">
        <v>13</v>
      </c>
    </row>
    <row r="15" customFormat="false" ht="15" hidden="false" customHeight="false" outlineLevel="0" collapsed="false">
      <c r="A15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30"/>
    <col collapsed="false" customWidth="true" hidden="false" outlineLevel="0" max="8" min="8" style="0" width="13"/>
    <col collapsed="false" customWidth="true" hidden="false" outlineLevel="0" max="9" min="9" style="0" width="6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3" min="12" style="0" width="13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0"/>
  </cols>
  <sheetData>
    <row r="1" customFormat="false" ht="31.5" hidden="false" customHeight="true" outlineLevel="0" collapsed="false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8</v>
      </c>
      <c r="L1" s="9" t="s">
        <v>25</v>
      </c>
      <c r="M1" s="9" t="s">
        <v>26</v>
      </c>
      <c r="N1" s="9" t="s">
        <v>27</v>
      </c>
      <c r="O1" s="9" t="s">
        <v>28</v>
      </c>
      <c r="P1" s="9" t="s">
        <v>29</v>
      </c>
    </row>
    <row r="2" customFormat="false" ht="15" hidden="false" customHeight="false" outlineLevel="0" collapsed="false">
      <c r="A2" s="10" t="s">
        <v>30</v>
      </c>
      <c r="B2" s="10" t="s">
        <v>31</v>
      </c>
      <c r="C2" s="10" t="s">
        <v>32</v>
      </c>
      <c r="D2" s="11" t="n">
        <v>46752</v>
      </c>
      <c r="E2" s="12" t="n">
        <v>616</v>
      </c>
      <c r="F2" s="10" t="n">
        <f aca="false">IF(D2="","",ROUND((D2-Parametri!$B$3)/30.4375,1))</f>
        <v>15.1</v>
      </c>
      <c r="G2" s="10" t="str">
        <f aca="false">IF(P2&lt;&gt;O2,"Mancante temporaneamente (difformità)",IF(D2="","Mancante (senza scadenza)",IF(D2&lt;Parametri!$B$3,"Scaduto",IF(H2="","Prezzo mancante","Disponibile"))))</f>
        <v>Disponibile</v>
      </c>
      <c r="H2" s="13" t="n">
        <v>22.5</v>
      </c>
      <c r="I2" s="14" t="n">
        <f aca="false">Parametri!$B$4</f>
        <v>0.1</v>
      </c>
      <c r="J2" s="13" t="n">
        <f aca="false">IF(H2="","",ROUND(H2/(1+I2),2))</f>
        <v>20.45</v>
      </c>
      <c r="K2" s="14" t="n">
        <f aca="false">IF(G2&lt;&gt;"Disponibile","",IF(D2&gt;=EDATE(Parametri!$B$3,Parametri!$B$9),Parametri!$C$9,IF(D2&gt;=EDATE(Parametri!$B$3,Parametri!$B$10),Parametri!$C$10,Parametri!$C$11)))</f>
        <v>0.38</v>
      </c>
      <c r="L2" s="13" t="n">
        <f aca="false">IF(K2="","",ROUND(H2*(1-K2),2))</f>
        <v>13.95</v>
      </c>
      <c r="M2" s="13" t="n">
        <f aca="false">IF(K2="","",ROUND(L2/(1+I2),2))</f>
        <v>12.68</v>
      </c>
      <c r="N2" s="13" t="n">
        <f aca="false">IF(M2="","",E2*M2)</f>
        <v>7810.88</v>
      </c>
      <c r="O2" s="12" t="n">
        <v>616</v>
      </c>
      <c r="P2" s="10" t="n">
        <f aca="false">SUMIF($A$2:$A$200,A2,$E$2:$E$200)</f>
        <v>616</v>
      </c>
    </row>
    <row r="3" customFormat="false" ht="15" hidden="false" customHeight="false" outlineLevel="0" collapsed="false">
      <c r="A3" s="10" t="s">
        <v>33</v>
      </c>
      <c r="B3" s="10" t="s">
        <v>34</v>
      </c>
      <c r="C3" s="10" t="s">
        <v>35</v>
      </c>
      <c r="D3" s="11" t="n">
        <v>46812</v>
      </c>
      <c r="E3" s="12" t="n">
        <v>611</v>
      </c>
      <c r="F3" s="10" t="n">
        <f aca="false">IF(D3="","",ROUND((D3-Parametri!$B$3)/30.4375,1))</f>
        <v>17.1</v>
      </c>
      <c r="G3" s="10" t="str">
        <f aca="false">IF(P3&lt;&gt;O3,"Mancante temporaneamente (difformità)",IF(D3="","Mancante (senza scadenza)",IF(D3&lt;Parametri!$B$3,"Scaduto",IF(H3="","Prezzo mancante","Disponibile"))))</f>
        <v>Disponibile</v>
      </c>
      <c r="H3" s="13" t="n">
        <v>31.5</v>
      </c>
      <c r="I3" s="14" t="n">
        <f aca="false">Parametri!$B$4</f>
        <v>0.1</v>
      </c>
      <c r="J3" s="13" t="n">
        <f aca="false">IF(H3="","",ROUND(H3/(1+I3),2))</f>
        <v>28.64</v>
      </c>
      <c r="K3" s="14" t="n">
        <f aca="false">IF(G3&lt;&gt;"Disponibile","",IF(D3&gt;=EDATE(Parametri!$B$3,Parametri!$B$9),Parametri!$C$9,IF(D3&gt;=EDATE(Parametri!$B$3,Parametri!$B$10),Parametri!$C$10,Parametri!$C$11)))</f>
        <v>0.38</v>
      </c>
      <c r="L3" s="13" t="n">
        <f aca="false">IF(K3="","",ROUND(H3*(1-K3),2))</f>
        <v>19.53</v>
      </c>
      <c r="M3" s="13" t="n">
        <f aca="false">IF(K3="","",ROUND(L3/(1+I3),2))</f>
        <v>17.75</v>
      </c>
      <c r="N3" s="13" t="n">
        <f aca="false">IF(M3="","",E3*M3)</f>
        <v>10845.25</v>
      </c>
      <c r="O3" s="12" t="n">
        <v>611</v>
      </c>
      <c r="P3" s="10" t="n">
        <f aca="false">SUMIF($A$2:$A$200,A3,$E$2:$E$200)</f>
        <v>611</v>
      </c>
    </row>
    <row r="4" customFormat="false" ht="15" hidden="false" customHeight="false" outlineLevel="0" collapsed="false">
      <c r="A4" s="10" t="s">
        <v>36</v>
      </c>
      <c r="B4" s="10" t="s">
        <v>37</v>
      </c>
      <c r="C4" s="10" t="s">
        <v>38</v>
      </c>
      <c r="D4" s="11" t="n">
        <v>46660</v>
      </c>
      <c r="E4" s="12" t="n">
        <v>1462</v>
      </c>
      <c r="F4" s="10" t="n">
        <f aca="false">IF(D4="","",ROUND((D4-Parametri!$B$3)/30.4375,1))</f>
        <v>12.1</v>
      </c>
      <c r="G4" s="10" t="str">
        <f aca="false">IF(P4&lt;&gt;O4,"Mancante temporaneamente (difformità)",IF(D4="","Mancante (senza scadenza)",IF(D4&lt;Parametri!$B$3,"Scaduto",IF(H4="","Prezzo mancante","Disponibile"))))</f>
        <v>Disponibile</v>
      </c>
      <c r="H4" s="13" t="n">
        <v>30</v>
      </c>
      <c r="I4" s="14" t="n">
        <f aca="false">Parametri!$B$4</f>
        <v>0.1</v>
      </c>
      <c r="J4" s="13" t="n">
        <f aca="false">IF(H4="","",ROUND(H4/(1+I4),2))</f>
        <v>27.27</v>
      </c>
      <c r="K4" s="14" t="n">
        <f aca="false">IF(G4&lt;&gt;"Disponibile","",IF(D4&gt;=EDATE(Parametri!$B$3,Parametri!$B$9),Parametri!$C$9,IF(D4&gt;=EDATE(Parametri!$B$3,Parametri!$B$10),Parametri!$C$10,Parametri!$C$11)))</f>
        <v>0.38</v>
      </c>
      <c r="L4" s="13" t="n">
        <f aca="false">IF(K4="","",ROUND(H4*(1-K4),2))</f>
        <v>18.6</v>
      </c>
      <c r="M4" s="13" t="n">
        <f aca="false">IF(K4="","",ROUND(L4/(1+I4),2))</f>
        <v>16.91</v>
      </c>
      <c r="N4" s="13" t="n">
        <f aca="false">IF(M4="","",E4*M4)</f>
        <v>24722.42</v>
      </c>
      <c r="O4" s="12" t="n">
        <v>6347</v>
      </c>
      <c r="P4" s="10" t="n">
        <f aca="false">SUMIF($A$2:$A$200,A4,$E$2:$E$200)</f>
        <v>6347</v>
      </c>
    </row>
    <row r="5" customFormat="false" ht="15" hidden="false" customHeight="false" outlineLevel="0" collapsed="false">
      <c r="A5" s="10" t="s">
        <v>36</v>
      </c>
      <c r="B5" s="10" t="s">
        <v>37</v>
      </c>
      <c r="C5" s="10" t="s">
        <v>39</v>
      </c>
      <c r="D5" s="11" t="n">
        <v>47238</v>
      </c>
      <c r="E5" s="12" t="n">
        <v>4885</v>
      </c>
      <c r="F5" s="10" t="n">
        <f aca="false">IF(D5="","",ROUND((D5-Parametri!$B$3)/30.4375,1))</f>
        <v>31</v>
      </c>
      <c r="G5" s="10" t="str">
        <f aca="false">IF(P5&lt;&gt;O5,"Mancante temporaneamente (difformità)",IF(D5="","Mancante (senza scadenza)",IF(D5&lt;Parametri!$B$3,"Scaduto",IF(H5="","Prezzo mancante","Disponibile"))))</f>
        <v>Disponibile</v>
      </c>
      <c r="H5" s="13" t="n">
        <v>30</v>
      </c>
      <c r="I5" s="14" t="n">
        <f aca="false">Parametri!$B$4</f>
        <v>0.1</v>
      </c>
      <c r="J5" s="13" t="n">
        <f aca="false">IF(H5="","",ROUND(H5/(1+I5),2))</f>
        <v>27.27</v>
      </c>
      <c r="K5" s="14" t="n">
        <f aca="false">IF(G5&lt;&gt;"Disponibile","",IF(D5&gt;=EDATE(Parametri!$B$3,Parametri!$B$9),Parametri!$C$9,IF(D5&gt;=EDATE(Parametri!$B$3,Parametri!$B$10),Parametri!$C$10,Parametri!$C$11)))</f>
        <v>0.38</v>
      </c>
      <c r="L5" s="13" t="n">
        <f aca="false">IF(K5="","",ROUND(H5*(1-K5),2))</f>
        <v>18.6</v>
      </c>
      <c r="M5" s="13" t="n">
        <f aca="false">IF(K5="","",ROUND(L5/(1+I5),2))</f>
        <v>16.91</v>
      </c>
      <c r="N5" s="13" t="n">
        <f aca="false">IF(M5="","",E5*M5)</f>
        <v>82605.35</v>
      </c>
      <c r="O5" s="12" t="n">
        <v>6347</v>
      </c>
      <c r="P5" s="10" t="n">
        <f aca="false">SUMIF($A$2:$A$200,A5,$E$2:$E$200)</f>
        <v>6347</v>
      </c>
    </row>
    <row r="6" customFormat="false" ht="15" hidden="false" customHeight="false" outlineLevel="0" collapsed="false">
      <c r="A6" s="10" t="s">
        <v>40</v>
      </c>
      <c r="B6" s="10" t="s">
        <v>41</v>
      </c>
      <c r="C6" s="10" t="s">
        <v>42</v>
      </c>
      <c r="D6" s="11" t="n">
        <v>46568</v>
      </c>
      <c r="E6" s="12" t="n">
        <v>650</v>
      </c>
      <c r="F6" s="10" t="n">
        <f aca="false">IF(D6="","",ROUND((D6-Parametri!$B$3)/30.4375,1))</f>
        <v>9</v>
      </c>
      <c r="G6" s="10" t="str">
        <f aca="false">IF(P6&lt;&gt;O6,"Mancante temporaneamente (difformità)",IF(D6="","Mancante (senza scadenza)",IF(D6&lt;Parametri!$B$3,"Scaduto",IF(H6="","Prezzo mancante","Disponibile"))))</f>
        <v>Disponibile</v>
      </c>
      <c r="H6" s="13" t="n">
        <v>52</v>
      </c>
      <c r="I6" s="14" t="n">
        <f aca="false">Parametri!$B$4</f>
        <v>0.1</v>
      </c>
      <c r="J6" s="13" t="n">
        <f aca="false">IF(H6="","",ROUND(H6/(1+I6),2))</f>
        <v>47.27</v>
      </c>
      <c r="K6" s="14" t="n">
        <f aca="false">IF(G6&lt;&gt;"Disponibile","",IF(D6&gt;=EDATE(Parametri!$B$3,Parametri!$B$9),Parametri!$C$9,IF(D6&gt;=EDATE(Parametri!$B$3,Parametri!$B$10),Parametri!$C$10,Parametri!$C$11)))</f>
        <v>0.38</v>
      </c>
      <c r="L6" s="13" t="n">
        <f aca="false">IF(K6="","",ROUND(H6*(1-K6),2))</f>
        <v>32.24</v>
      </c>
      <c r="M6" s="13" t="n">
        <f aca="false">IF(K6="","",ROUND(L6/(1+I6),2))</f>
        <v>29.31</v>
      </c>
      <c r="N6" s="13" t="n">
        <f aca="false">IF(M6="","",E6*M6)</f>
        <v>19051.5</v>
      </c>
      <c r="O6" s="12" t="n">
        <v>650</v>
      </c>
      <c r="P6" s="10" t="n">
        <f aca="false">SUMIF($A$2:$A$200,A6,$E$2:$E$200)</f>
        <v>650</v>
      </c>
    </row>
    <row r="7" customFormat="false" ht="15" hidden="false" customHeight="false" outlineLevel="0" collapsed="false">
      <c r="A7" s="10" t="s">
        <v>43</v>
      </c>
      <c r="B7" s="10" t="s">
        <v>44</v>
      </c>
      <c r="C7" s="10" t="s">
        <v>45</v>
      </c>
      <c r="D7" s="11" t="n">
        <v>47149</v>
      </c>
      <c r="E7" s="12" t="n">
        <v>526</v>
      </c>
      <c r="F7" s="10" t="n">
        <f aca="false">IF(D7="","",ROUND((D7-Parametri!$B$3)/30.4375,1))</f>
        <v>28.1</v>
      </c>
      <c r="G7" s="10" t="str">
        <f aca="false">IF(P7&lt;&gt;O7,"Mancante temporaneamente (difformità)",IF(D7="","Mancante (senza scadenza)",IF(D7&lt;Parametri!$B$3,"Scaduto",IF(H7="","Prezzo mancante","Disponibile"))))</f>
        <v>Disponibile</v>
      </c>
      <c r="H7" s="13" t="n">
        <v>25</v>
      </c>
      <c r="I7" s="14" t="n">
        <f aca="false">Parametri!$B$4</f>
        <v>0.1</v>
      </c>
      <c r="J7" s="13" t="n">
        <f aca="false">IF(H7="","",ROUND(H7/(1+I7),2))</f>
        <v>22.73</v>
      </c>
      <c r="K7" s="14" t="n">
        <f aca="false">IF(G7&lt;&gt;"Disponibile","",IF(D7&gt;=EDATE(Parametri!$B$3,Parametri!$B$9),Parametri!$C$9,IF(D7&gt;=EDATE(Parametri!$B$3,Parametri!$B$10),Parametri!$C$10,Parametri!$C$11)))</f>
        <v>0.38</v>
      </c>
      <c r="L7" s="13" t="n">
        <f aca="false">IF(K7="","",ROUND(H7*(1-K7),2))</f>
        <v>15.5</v>
      </c>
      <c r="M7" s="13" t="n">
        <f aca="false">IF(K7="","",ROUND(L7/(1+I7),2))</f>
        <v>14.09</v>
      </c>
      <c r="N7" s="13" t="n">
        <f aca="false">IF(M7="","",E7*M7)</f>
        <v>7411.34</v>
      </c>
      <c r="O7" s="12" t="n">
        <v>526</v>
      </c>
      <c r="P7" s="10" t="n">
        <f aca="false">SUMIF($A$2:$A$200,A7,$E$2:$E$200)</f>
        <v>526</v>
      </c>
    </row>
    <row r="8" customFormat="false" ht="15" hidden="false" customHeight="false" outlineLevel="0" collapsed="false">
      <c r="A8" s="10" t="s">
        <v>46</v>
      </c>
      <c r="B8" s="10" t="s">
        <v>47</v>
      </c>
      <c r="C8" s="10" t="s">
        <v>48</v>
      </c>
      <c r="D8" s="11" t="n">
        <v>47087</v>
      </c>
      <c r="E8" s="12" t="n">
        <v>3420</v>
      </c>
      <c r="F8" s="10" t="n">
        <f aca="false">IF(D8="","",ROUND((D8-Parametri!$B$3)/30.4375,1))</f>
        <v>26.1</v>
      </c>
      <c r="G8" s="10" t="str">
        <f aca="false">IF(P8&lt;&gt;O8,"Mancante temporaneamente (difformità)",IF(D8="","Mancante (senza scadenza)",IF(D8&lt;Parametri!$B$3,"Scaduto",IF(H8="","Prezzo mancante","Disponibile"))))</f>
        <v>Disponibile</v>
      </c>
      <c r="H8" s="13" t="n">
        <v>25</v>
      </c>
      <c r="I8" s="14" t="n">
        <f aca="false">Parametri!$B$4</f>
        <v>0.1</v>
      </c>
      <c r="J8" s="13" t="n">
        <f aca="false">IF(H8="","",ROUND(H8/(1+I8),2))</f>
        <v>22.73</v>
      </c>
      <c r="K8" s="14" t="n">
        <f aca="false">IF(G8&lt;&gt;"Disponibile","",IF(D8&gt;=EDATE(Parametri!$B$3,Parametri!$B$9),Parametri!$C$9,IF(D8&gt;=EDATE(Parametri!$B$3,Parametri!$B$10),Parametri!$C$10,Parametri!$C$11)))</f>
        <v>0.38</v>
      </c>
      <c r="L8" s="13" t="n">
        <f aca="false">IF(K8="","",ROUND(H8*(1-K8),2))</f>
        <v>15.5</v>
      </c>
      <c r="M8" s="13" t="n">
        <f aca="false">IF(K8="","",ROUND(L8/(1+I8),2))</f>
        <v>14.09</v>
      </c>
      <c r="N8" s="13" t="n">
        <f aca="false">IF(M8="","",E8*M8)</f>
        <v>48187.8</v>
      </c>
      <c r="O8" s="12" t="n">
        <v>3420</v>
      </c>
      <c r="P8" s="10" t="n">
        <f aca="false">SUMIF($A$2:$A$200,A8,$E$2:$E$200)</f>
        <v>3420</v>
      </c>
    </row>
    <row r="9" customFormat="false" ht="15" hidden="false" customHeight="false" outlineLevel="0" collapsed="false">
      <c r="A9" s="10" t="s">
        <v>49</v>
      </c>
      <c r="B9" s="10" t="s">
        <v>50</v>
      </c>
      <c r="C9" s="10" t="s">
        <v>51</v>
      </c>
      <c r="D9" s="11" t="n">
        <v>46446</v>
      </c>
      <c r="E9" s="12" t="n">
        <v>794</v>
      </c>
      <c r="F9" s="10" t="n">
        <f aca="false">IF(D9="","",ROUND((D9-Parametri!$B$3)/30.4375,1))</f>
        <v>5</v>
      </c>
      <c r="G9" s="10" t="str">
        <f aca="false">IF(P9&lt;&gt;O9,"Mancante temporaneamente (difformità)",IF(D9="","Mancante (senza scadenza)",IF(D9&lt;Parametri!$B$3,"Scaduto",IF(H9="","Prezzo mancante","Disponibile"))))</f>
        <v>Disponibile</v>
      </c>
      <c r="H9" s="13" t="n">
        <v>31</v>
      </c>
      <c r="I9" s="14" t="n">
        <f aca="false">Parametri!$B$4</f>
        <v>0.1</v>
      </c>
      <c r="J9" s="13" t="n">
        <f aca="false">IF(H9="","",ROUND(H9/(1+I9),2))</f>
        <v>28.18</v>
      </c>
      <c r="K9" s="14" t="n">
        <f aca="false">IF(G9&lt;&gt;"Disponibile","",IF(D9&gt;=EDATE(Parametri!$B$3,Parametri!$B$9),Parametri!$C$9,IF(D9&gt;=EDATE(Parametri!$B$3,Parametri!$B$10),Parametri!$C$10,Parametri!$C$11)))</f>
        <v>0.45</v>
      </c>
      <c r="L9" s="13" t="n">
        <f aca="false">IF(K9="","",ROUND(H9*(1-K9),2))</f>
        <v>17.05</v>
      </c>
      <c r="M9" s="13" t="n">
        <f aca="false">IF(K9="","",ROUND(L9/(1+I9),2))</f>
        <v>15.5</v>
      </c>
      <c r="N9" s="13" t="n">
        <f aca="false">IF(M9="","",E9*M9)</f>
        <v>12307</v>
      </c>
      <c r="O9" s="12" t="n">
        <v>794</v>
      </c>
      <c r="P9" s="10" t="n">
        <f aca="false">SUMIF($A$2:$A$200,A9,$E$2:$E$200)</f>
        <v>794</v>
      </c>
    </row>
    <row r="10" customFormat="false" ht="15" hidden="false" customHeight="false" outlineLevel="0" collapsed="false">
      <c r="A10" s="10" t="s">
        <v>52</v>
      </c>
      <c r="B10" s="10" t="s">
        <v>53</v>
      </c>
      <c r="C10" s="10" t="s">
        <v>54</v>
      </c>
      <c r="D10" s="11" t="n">
        <v>46507</v>
      </c>
      <c r="E10" s="12" t="n">
        <v>297</v>
      </c>
      <c r="F10" s="10" t="n">
        <f aca="false">IF(D10="","",ROUND((D10-Parametri!$B$3)/30.4375,1))</f>
        <v>7</v>
      </c>
      <c r="G10" s="10" t="str">
        <f aca="false">IF(P10&lt;&gt;O10,"Mancante temporaneamente (difformità)",IF(D10="","Mancante (senza scadenza)",IF(D10&lt;Parametri!$B$3,"Scaduto",IF(H10="","Prezzo mancante","Disponibile"))))</f>
        <v>Mancante temporaneamente (difformità)</v>
      </c>
      <c r="H10" s="13" t="n">
        <v>21</v>
      </c>
      <c r="I10" s="14" t="n">
        <f aca="false">Parametri!$B$4</f>
        <v>0.1</v>
      </c>
      <c r="J10" s="13" t="n">
        <f aca="false">IF(H10="","",ROUND(H10/(1+I10),2))</f>
        <v>19.09</v>
      </c>
      <c r="K10" s="14" t="str">
        <f aca="false">IF(G10&lt;&gt;"Disponibile","",IF(D10&gt;=EDATE(Parametri!$B$3,Parametri!$B$9),Parametri!$C$9,IF(D10&gt;=EDATE(Parametri!$B$3,Parametri!$B$10),Parametri!$C$10,Parametri!$C$11)))</f>
        <v/>
      </c>
      <c r="L10" s="13" t="str">
        <f aca="false">IF(K10="","",ROUND(H10*(1-K10),2))</f>
        <v/>
      </c>
      <c r="M10" s="13" t="str">
        <f aca="false">IF(K10="","",ROUND(L10/(1+I10),2))</f>
        <v/>
      </c>
      <c r="N10" s="13" t="str">
        <f aca="false">IF(M10="","",E10*M10)</f>
        <v/>
      </c>
      <c r="O10" s="12" t="n">
        <v>2314</v>
      </c>
      <c r="P10" s="10" t="n">
        <f aca="false">SUMIF($A$2:$A$200,A10,$E$2:$E$200)</f>
        <v>2317</v>
      </c>
    </row>
    <row r="11" customFormat="false" ht="15" hidden="false" customHeight="false" outlineLevel="0" collapsed="false">
      <c r="A11" s="10" t="s">
        <v>52</v>
      </c>
      <c r="B11" s="10" t="s">
        <v>53</v>
      </c>
      <c r="C11" s="10" t="s">
        <v>55</v>
      </c>
      <c r="D11" s="11" t="n">
        <v>47299</v>
      </c>
      <c r="E11" s="12" t="n">
        <v>2020</v>
      </c>
      <c r="F11" s="10" t="n">
        <f aca="false">IF(D11="","",ROUND((D11-Parametri!$B$3)/30.4375,1))</f>
        <v>33.1</v>
      </c>
      <c r="G11" s="10" t="str">
        <f aca="false">IF(P11&lt;&gt;O11,"Mancante temporaneamente (difformità)",IF(D11="","Mancante (senza scadenza)",IF(D11&lt;Parametri!$B$3,"Scaduto",IF(H11="","Prezzo mancante","Disponibile"))))</f>
        <v>Mancante temporaneamente (difformità)</v>
      </c>
      <c r="H11" s="13" t="n">
        <v>21</v>
      </c>
      <c r="I11" s="14" t="n">
        <f aca="false">Parametri!$B$4</f>
        <v>0.1</v>
      </c>
      <c r="J11" s="13" t="n">
        <f aca="false">IF(H11="","",ROUND(H11/(1+I11),2))</f>
        <v>19.09</v>
      </c>
      <c r="K11" s="14" t="str">
        <f aca="false">IF(G11&lt;&gt;"Disponibile","",IF(D11&gt;=EDATE(Parametri!$B$3,Parametri!$B$9),Parametri!$C$9,IF(D11&gt;=EDATE(Parametri!$B$3,Parametri!$B$10),Parametri!$C$10,Parametri!$C$11)))</f>
        <v/>
      </c>
      <c r="L11" s="13" t="str">
        <f aca="false">IF(K11="","",ROUND(H11*(1-K11),2))</f>
        <v/>
      </c>
      <c r="M11" s="13" t="str">
        <f aca="false">IF(K11="","",ROUND(L11/(1+I11),2))</f>
        <v/>
      </c>
      <c r="N11" s="13" t="str">
        <f aca="false">IF(M11="","",E11*M11)</f>
        <v/>
      </c>
      <c r="O11" s="12" t="n">
        <v>2314</v>
      </c>
      <c r="P11" s="10" t="n">
        <f aca="false">SUMIF($A$2:$A$200,A11,$E$2:$E$200)</f>
        <v>2317</v>
      </c>
    </row>
    <row r="12" customFormat="false" ht="15" hidden="false" customHeight="false" outlineLevel="0" collapsed="false">
      <c r="A12" s="10" t="s">
        <v>56</v>
      </c>
      <c r="B12" s="10" t="s">
        <v>57</v>
      </c>
      <c r="C12" s="10" t="s">
        <v>58</v>
      </c>
      <c r="D12" s="11" t="n">
        <v>46752</v>
      </c>
      <c r="E12" s="12" t="n">
        <v>606</v>
      </c>
      <c r="F12" s="10" t="n">
        <f aca="false">IF(D12="","",ROUND((D12-Parametri!$B$3)/30.4375,1))</f>
        <v>15.1</v>
      </c>
      <c r="G12" s="10" t="str">
        <f aca="false">IF(P12&lt;&gt;O12,"Mancante temporaneamente (difformità)",IF(D12="","Mancante (senza scadenza)",IF(D12&lt;Parametri!$B$3,"Scaduto",IF(H12="","Prezzo mancante","Disponibile"))))</f>
        <v>Disponibile</v>
      </c>
      <c r="H12" s="13" t="n">
        <v>27</v>
      </c>
      <c r="I12" s="14" t="n">
        <f aca="false">Parametri!$B$4</f>
        <v>0.1</v>
      </c>
      <c r="J12" s="13" t="n">
        <f aca="false">IF(H12="","",ROUND(H12/(1+I12),2))</f>
        <v>24.55</v>
      </c>
      <c r="K12" s="14" t="n">
        <f aca="false">IF(G12&lt;&gt;"Disponibile","",IF(D12&gt;=EDATE(Parametri!$B$3,Parametri!$B$9),Parametri!$C$9,IF(D12&gt;=EDATE(Parametri!$B$3,Parametri!$B$10),Parametri!$C$10,Parametri!$C$11)))</f>
        <v>0.38</v>
      </c>
      <c r="L12" s="13" t="n">
        <f aca="false">IF(K12="","",ROUND(H12*(1-K12),2))</f>
        <v>16.74</v>
      </c>
      <c r="M12" s="13" t="n">
        <f aca="false">IF(K12="","",ROUND(L12/(1+I12),2))</f>
        <v>15.22</v>
      </c>
      <c r="N12" s="13" t="n">
        <f aca="false">IF(M12="","",E12*M12)</f>
        <v>9223.32</v>
      </c>
      <c r="O12" s="12" t="n">
        <v>3448</v>
      </c>
      <c r="P12" s="10" t="n">
        <f aca="false">SUMIF($A$2:$A$200,A12,$E$2:$E$200)</f>
        <v>3448</v>
      </c>
    </row>
    <row r="13" customFormat="false" ht="15" hidden="false" customHeight="false" outlineLevel="0" collapsed="false">
      <c r="A13" s="10" t="s">
        <v>56</v>
      </c>
      <c r="B13" s="10" t="s">
        <v>57</v>
      </c>
      <c r="C13" s="10" t="s">
        <v>59</v>
      </c>
      <c r="D13" s="11" t="n">
        <v>46934</v>
      </c>
      <c r="E13" s="12" t="n">
        <v>2842</v>
      </c>
      <c r="F13" s="10" t="n">
        <f aca="false">IF(D13="","",ROUND((D13-Parametri!$B$3)/30.4375,1))</f>
        <v>21.1</v>
      </c>
      <c r="G13" s="10" t="str">
        <f aca="false">IF(P13&lt;&gt;O13,"Mancante temporaneamente (difformità)",IF(D13="","Mancante (senza scadenza)",IF(D13&lt;Parametri!$B$3,"Scaduto",IF(H13="","Prezzo mancante","Disponibile"))))</f>
        <v>Disponibile</v>
      </c>
      <c r="H13" s="13" t="n">
        <v>27</v>
      </c>
      <c r="I13" s="14" t="n">
        <f aca="false">Parametri!$B$4</f>
        <v>0.1</v>
      </c>
      <c r="J13" s="13" t="n">
        <f aca="false">IF(H13="","",ROUND(H13/(1+I13),2))</f>
        <v>24.55</v>
      </c>
      <c r="K13" s="14" t="n">
        <f aca="false">IF(G13&lt;&gt;"Disponibile","",IF(D13&gt;=EDATE(Parametri!$B$3,Parametri!$B$9),Parametri!$C$9,IF(D13&gt;=EDATE(Parametri!$B$3,Parametri!$B$10),Parametri!$C$10,Parametri!$C$11)))</f>
        <v>0.38</v>
      </c>
      <c r="L13" s="13" t="n">
        <f aca="false">IF(K13="","",ROUND(H13*(1-K13),2))</f>
        <v>16.74</v>
      </c>
      <c r="M13" s="13" t="n">
        <f aca="false">IF(K13="","",ROUND(L13/(1+I13),2))</f>
        <v>15.22</v>
      </c>
      <c r="N13" s="13" t="n">
        <f aca="false">IF(M13="","",E13*M13)</f>
        <v>43255.24</v>
      </c>
      <c r="O13" s="12" t="n">
        <v>3448</v>
      </c>
      <c r="P13" s="10" t="n">
        <f aca="false">SUMIF($A$2:$A$200,A13,$E$2:$E$200)</f>
        <v>3448</v>
      </c>
    </row>
    <row r="14" customFormat="false" ht="15" hidden="false" customHeight="false" outlineLevel="0" collapsed="false">
      <c r="A14" s="10" t="s">
        <v>60</v>
      </c>
      <c r="B14" s="10" t="s">
        <v>61</v>
      </c>
      <c r="C14" s="10" t="s">
        <v>62</v>
      </c>
      <c r="D14" s="11" t="n">
        <v>46538</v>
      </c>
      <c r="E14" s="12" t="n">
        <v>511</v>
      </c>
      <c r="F14" s="10" t="n">
        <f aca="false">IF(D14="","",ROUND((D14-Parametri!$B$3)/30.4375,1))</f>
        <v>8</v>
      </c>
      <c r="G14" s="10" t="str">
        <f aca="false">IF(P14&lt;&gt;O14,"Mancante temporaneamente (difformità)",IF(D14="","Mancante (senza scadenza)",IF(D14&lt;Parametri!$B$3,"Scaduto",IF(H14="","Prezzo mancante","Disponibile"))))</f>
        <v>Disponibile</v>
      </c>
      <c r="H14" s="13" t="n">
        <v>27</v>
      </c>
      <c r="I14" s="14" t="n">
        <f aca="false">Parametri!$B$4</f>
        <v>0.1</v>
      </c>
      <c r="J14" s="13" t="n">
        <f aca="false">IF(H14="","",ROUND(H14/(1+I14),2))</f>
        <v>24.55</v>
      </c>
      <c r="K14" s="14" t="n">
        <f aca="false">IF(G14&lt;&gt;"Disponibile","",IF(D14&gt;=EDATE(Parametri!$B$3,Parametri!$B$9),Parametri!$C$9,IF(D14&gt;=EDATE(Parametri!$B$3,Parametri!$B$10),Parametri!$C$10,Parametri!$C$11)))</f>
        <v>0.38</v>
      </c>
      <c r="L14" s="13" t="n">
        <f aca="false">IF(K14="","",ROUND(H14*(1-K14),2))</f>
        <v>16.74</v>
      </c>
      <c r="M14" s="13" t="n">
        <f aca="false">IF(K14="","",ROUND(L14/(1+I14),2))</f>
        <v>15.22</v>
      </c>
      <c r="N14" s="13" t="n">
        <f aca="false">IF(M14="","",E14*M14)</f>
        <v>7777.42</v>
      </c>
      <c r="O14" s="12" t="n">
        <v>3578</v>
      </c>
      <c r="P14" s="10" t="n">
        <f aca="false">SUMIF($A$2:$A$200,A14,$E$2:$E$200)</f>
        <v>3578</v>
      </c>
    </row>
    <row r="15" customFormat="false" ht="15" hidden="false" customHeight="false" outlineLevel="0" collapsed="false">
      <c r="A15" s="10" t="s">
        <v>60</v>
      </c>
      <c r="B15" s="10" t="s">
        <v>61</v>
      </c>
      <c r="C15" s="10" t="s">
        <v>63</v>
      </c>
      <c r="D15" s="11" t="n">
        <v>47330</v>
      </c>
      <c r="E15" s="12" t="n">
        <v>3067</v>
      </c>
      <c r="F15" s="10" t="n">
        <f aca="false">IF(D15="","",ROUND((D15-Parametri!$B$3)/30.4375,1))</f>
        <v>34.1</v>
      </c>
      <c r="G15" s="10" t="str">
        <f aca="false">IF(P15&lt;&gt;O15,"Mancante temporaneamente (difformità)",IF(D15="","Mancante (senza scadenza)",IF(D15&lt;Parametri!$B$3,"Scaduto",IF(H15="","Prezzo mancante","Disponibile"))))</f>
        <v>Disponibile</v>
      </c>
      <c r="H15" s="13" t="n">
        <v>27</v>
      </c>
      <c r="I15" s="14" t="n">
        <f aca="false">Parametri!$B$4</f>
        <v>0.1</v>
      </c>
      <c r="J15" s="13" t="n">
        <f aca="false">IF(H15="","",ROUND(H15/(1+I15),2))</f>
        <v>24.55</v>
      </c>
      <c r="K15" s="14" t="n">
        <f aca="false">IF(G15&lt;&gt;"Disponibile","",IF(D15&gt;=EDATE(Parametri!$B$3,Parametri!$B$9),Parametri!$C$9,IF(D15&gt;=EDATE(Parametri!$B$3,Parametri!$B$10),Parametri!$C$10,Parametri!$C$11)))</f>
        <v>0.38</v>
      </c>
      <c r="L15" s="13" t="n">
        <f aca="false">IF(K15="","",ROUND(H15*(1-K15),2))</f>
        <v>16.74</v>
      </c>
      <c r="M15" s="13" t="n">
        <f aca="false">IF(K15="","",ROUND(L15/(1+I15),2))</f>
        <v>15.22</v>
      </c>
      <c r="N15" s="13" t="n">
        <f aca="false">IF(M15="","",E15*M15)</f>
        <v>46679.74</v>
      </c>
      <c r="O15" s="12" t="n">
        <v>3578</v>
      </c>
      <c r="P15" s="10" t="n">
        <f aca="false">SUMIF($A$2:$A$200,A15,$E$2:$E$200)</f>
        <v>3578</v>
      </c>
    </row>
    <row r="16" customFormat="false" ht="15" hidden="false" customHeight="false" outlineLevel="0" collapsed="false">
      <c r="A16" s="10" t="s">
        <v>64</v>
      </c>
      <c r="B16" s="10" t="s">
        <v>65</v>
      </c>
      <c r="C16" s="10" t="s">
        <v>66</v>
      </c>
      <c r="D16" s="11" t="n">
        <v>46418</v>
      </c>
      <c r="E16" s="12" t="n">
        <v>279</v>
      </c>
      <c r="F16" s="10" t="n">
        <f aca="false">IF(D16="","",ROUND((D16-Parametri!$B$3)/30.4375,1))</f>
        <v>4.1</v>
      </c>
      <c r="G16" s="10" t="str">
        <f aca="false">IF(P16&lt;&gt;O16,"Mancante temporaneamente (difformità)",IF(D16="","Mancante (senza scadenza)",IF(D16&lt;Parametri!$B$3,"Scaduto",IF(H16="","Prezzo mancante","Disponibile"))))</f>
        <v>Disponibile</v>
      </c>
      <c r="H16" s="13" t="n">
        <v>27</v>
      </c>
      <c r="I16" s="14" t="n">
        <f aca="false">Parametri!$B$4</f>
        <v>0.1</v>
      </c>
      <c r="J16" s="13" t="n">
        <f aca="false">IF(H16="","",ROUND(H16/(1+I16),2))</f>
        <v>24.55</v>
      </c>
      <c r="K16" s="14" t="n">
        <f aca="false">IF(G16&lt;&gt;"Disponibile","",IF(D16&gt;=EDATE(Parametri!$B$3,Parametri!$B$9),Parametri!$C$9,IF(D16&gt;=EDATE(Parametri!$B$3,Parametri!$B$10),Parametri!$C$10,Parametri!$C$11)))</f>
        <v>0.45</v>
      </c>
      <c r="L16" s="13" t="n">
        <f aca="false">IF(K16="","",ROUND(H16*(1-K16),2))</f>
        <v>14.85</v>
      </c>
      <c r="M16" s="13" t="n">
        <f aca="false">IF(K16="","",ROUND(L16/(1+I16),2))</f>
        <v>13.5</v>
      </c>
      <c r="N16" s="13" t="n">
        <f aca="false">IF(M16="","",E16*M16)</f>
        <v>3766.5</v>
      </c>
      <c r="O16" s="12" t="n">
        <v>279</v>
      </c>
      <c r="P16" s="10" t="n">
        <f aca="false">SUMIF($A$2:$A$200,A16,$E$2:$E$200)</f>
        <v>279</v>
      </c>
    </row>
    <row r="17" customFormat="false" ht="15" hidden="false" customHeight="false" outlineLevel="0" collapsed="false">
      <c r="A17" s="10" t="s">
        <v>67</v>
      </c>
      <c r="B17" s="10" t="s">
        <v>68</v>
      </c>
      <c r="C17" s="10" t="s">
        <v>69</v>
      </c>
      <c r="D17" s="11" t="n">
        <v>46387</v>
      </c>
      <c r="E17" s="12" t="n">
        <v>1006</v>
      </c>
      <c r="F17" s="10" t="n">
        <f aca="false">IF(D17="","",ROUND((D17-Parametri!$B$3)/30.4375,1))</f>
        <v>3.1</v>
      </c>
      <c r="G17" s="10" t="str">
        <f aca="false">IF(P17&lt;&gt;O17,"Mancante temporaneamente (difformità)",IF(D17="","Mancante (senza scadenza)",IF(D17&lt;Parametri!$B$3,"Scaduto",IF(H17="","Prezzo mancante","Disponibile"))))</f>
        <v>Prezzo mancante</v>
      </c>
      <c r="H17" s="13"/>
      <c r="I17" s="14" t="n">
        <f aca="false">Parametri!$B$4</f>
        <v>0.1</v>
      </c>
      <c r="J17" s="13" t="str">
        <f aca="false">IF(H17="","",ROUND(H17/(1+I17),2))</f>
        <v/>
      </c>
      <c r="K17" s="14" t="str">
        <f aca="false">IF(G17&lt;&gt;"Disponibile","",IF(D17&gt;=EDATE(Parametri!$B$3,Parametri!$B$9),Parametri!$C$9,IF(D17&gt;=EDATE(Parametri!$B$3,Parametri!$B$10),Parametri!$C$10,Parametri!$C$11)))</f>
        <v/>
      </c>
      <c r="L17" s="13" t="str">
        <f aca="false">IF(K17="","",ROUND(H17*(1-K17),2))</f>
        <v/>
      </c>
      <c r="M17" s="13" t="str">
        <f aca="false">IF(K17="","",ROUND(L17/(1+I17),2))</f>
        <v/>
      </c>
      <c r="N17" s="13" t="str">
        <f aca="false">IF(M17="","",E17*M17)</f>
        <v/>
      </c>
      <c r="O17" s="12" t="n">
        <v>1006</v>
      </c>
      <c r="P17" s="10" t="n">
        <f aca="false">SUMIF($A$2:$A$200,A17,$E$2:$E$200)</f>
        <v>1006</v>
      </c>
    </row>
    <row r="18" customFormat="false" ht="15" hidden="false" customHeight="false" outlineLevel="0" collapsed="false">
      <c r="A18" s="10" t="s">
        <v>70</v>
      </c>
      <c r="B18" s="10" t="s">
        <v>71</v>
      </c>
      <c r="C18" s="10" t="s">
        <v>72</v>
      </c>
      <c r="D18" s="11" t="n">
        <v>46418</v>
      </c>
      <c r="E18" s="12" t="n">
        <v>201</v>
      </c>
      <c r="F18" s="10" t="n">
        <f aca="false">IF(D18="","",ROUND((D18-Parametri!$B$3)/30.4375,1))</f>
        <v>4.1</v>
      </c>
      <c r="G18" s="10" t="str">
        <f aca="false">IF(P18&lt;&gt;O18,"Mancante temporaneamente (difformità)",IF(D18="","Mancante (senza scadenza)",IF(D18&lt;Parametri!$B$3,"Scaduto",IF(H18="","Prezzo mancante","Disponibile"))))</f>
        <v>Disponibile</v>
      </c>
      <c r="H18" s="13" t="n">
        <v>65</v>
      </c>
      <c r="I18" s="14" t="n">
        <f aca="false">Parametri!$B$4</f>
        <v>0.1</v>
      </c>
      <c r="J18" s="13" t="n">
        <f aca="false">IF(H18="","",ROUND(H18/(1+I18),2))</f>
        <v>59.09</v>
      </c>
      <c r="K18" s="14" t="n">
        <f aca="false">IF(G18&lt;&gt;"Disponibile","",IF(D18&gt;=EDATE(Parametri!$B$3,Parametri!$B$9),Parametri!$C$9,IF(D18&gt;=EDATE(Parametri!$B$3,Parametri!$B$10),Parametri!$C$10,Parametri!$C$11)))</f>
        <v>0.45</v>
      </c>
      <c r="L18" s="13" t="n">
        <f aca="false">IF(K18="","",ROUND(H18*(1-K18),2))</f>
        <v>35.75</v>
      </c>
      <c r="M18" s="13" t="n">
        <f aca="false">IF(K18="","",ROUND(L18/(1+I18),2))</f>
        <v>32.5</v>
      </c>
      <c r="N18" s="13" t="n">
        <f aca="false">IF(M18="","",E18*M18)</f>
        <v>6532.5</v>
      </c>
      <c r="O18" s="12" t="n">
        <v>1110</v>
      </c>
      <c r="P18" s="10" t="n">
        <f aca="false">SUMIF($A$2:$A$200,A18,$E$2:$E$200)</f>
        <v>1110</v>
      </c>
    </row>
    <row r="19" customFormat="false" ht="15" hidden="false" customHeight="false" outlineLevel="0" collapsed="false">
      <c r="A19" s="10" t="s">
        <v>70</v>
      </c>
      <c r="B19" s="10" t="s">
        <v>71</v>
      </c>
      <c r="C19" s="10" t="s">
        <v>73</v>
      </c>
      <c r="D19" s="11" t="n">
        <v>46934</v>
      </c>
      <c r="E19" s="12" t="n">
        <v>909</v>
      </c>
      <c r="F19" s="10" t="n">
        <f aca="false">IF(D19="","",ROUND((D19-Parametri!$B$3)/30.4375,1))</f>
        <v>21.1</v>
      </c>
      <c r="G19" s="10" t="str">
        <f aca="false">IF(P19&lt;&gt;O19,"Mancante temporaneamente (difformità)",IF(D19="","Mancante (senza scadenza)",IF(D19&lt;Parametri!$B$3,"Scaduto",IF(H19="","Prezzo mancante","Disponibile"))))</f>
        <v>Disponibile</v>
      </c>
      <c r="H19" s="13" t="n">
        <v>65</v>
      </c>
      <c r="I19" s="14" t="n">
        <f aca="false">Parametri!$B$4</f>
        <v>0.1</v>
      </c>
      <c r="J19" s="13" t="n">
        <f aca="false">IF(H19="","",ROUND(H19/(1+I19),2))</f>
        <v>59.09</v>
      </c>
      <c r="K19" s="14" t="n">
        <f aca="false">IF(G19&lt;&gt;"Disponibile","",IF(D19&gt;=EDATE(Parametri!$B$3,Parametri!$B$9),Parametri!$C$9,IF(D19&gt;=EDATE(Parametri!$B$3,Parametri!$B$10),Parametri!$C$10,Parametri!$C$11)))</f>
        <v>0.38</v>
      </c>
      <c r="L19" s="13" t="n">
        <f aca="false">IF(K19="","",ROUND(H19*(1-K19),2))</f>
        <v>40.3</v>
      </c>
      <c r="M19" s="13" t="n">
        <f aca="false">IF(K19="","",ROUND(L19/(1+I19),2))</f>
        <v>36.64</v>
      </c>
      <c r="N19" s="13" t="n">
        <f aca="false">IF(M19="","",E19*M19)</f>
        <v>33305.76</v>
      </c>
      <c r="O19" s="12" t="n">
        <v>1110</v>
      </c>
      <c r="P19" s="10" t="n">
        <f aca="false">SUMIF($A$2:$A$200,A19,$E$2:$E$200)</f>
        <v>1110</v>
      </c>
    </row>
    <row r="20" customFormat="false" ht="15" hidden="false" customHeight="false" outlineLevel="0" collapsed="false">
      <c r="A20" s="10" t="s">
        <v>74</v>
      </c>
      <c r="B20" s="10" t="s">
        <v>75</v>
      </c>
      <c r="C20" s="10" t="s">
        <v>76</v>
      </c>
      <c r="D20" s="11" t="n">
        <v>46783</v>
      </c>
      <c r="E20" s="12" t="n">
        <v>1192</v>
      </c>
      <c r="F20" s="10" t="n">
        <f aca="false">IF(D20="","",ROUND((D20-Parametri!$B$3)/30.4375,1))</f>
        <v>16.1</v>
      </c>
      <c r="G20" s="10" t="str">
        <f aca="false">IF(P20&lt;&gt;O20,"Mancante temporaneamente (difformità)",IF(D20="","Mancante (senza scadenza)",IF(D20&lt;Parametri!$B$3,"Scaduto",IF(H20="","Prezzo mancante","Disponibile"))))</f>
        <v>Disponibile</v>
      </c>
      <c r="H20" s="13" t="n">
        <v>50</v>
      </c>
      <c r="I20" s="14" t="n">
        <f aca="false">Parametri!$B$4</f>
        <v>0.1</v>
      </c>
      <c r="J20" s="13" t="n">
        <f aca="false">IF(H20="","",ROUND(H20/(1+I20),2))</f>
        <v>45.45</v>
      </c>
      <c r="K20" s="14" t="n">
        <f aca="false">IF(G20&lt;&gt;"Disponibile","",IF(D20&gt;=EDATE(Parametri!$B$3,Parametri!$B$9),Parametri!$C$9,IF(D20&gt;=EDATE(Parametri!$B$3,Parametri!$B$10),Parametri!$C$10,Parametri!$C$11)))</f>
        <v>0.38</v>
      </c>
      <c r="L20" s="13" t="n">
        <f aca="false">IF(K20="","",ROUND(H20*(1-K20),2))</f>
        <v>31</v>
      </c>
      <c r="M20" s="13" t="n">
        <f aca="false">IF(K20="","",ROUND(L20/(1+I20),2))</f>
        <v>28.18</v>
      </c>
      <c r="N20" s="13" t="n">
        <f aca="false">IF(M20="","",E20*M20)</f>
        <v>33590.56</v>
      </c>
      <c r="O20" s="12" t="n">
        <v>1192</v>
      </c>
      <c r="P20" s="10" t="n">
        <f aca="false">SUMIF($A$2:$A$200,A20,$E$2:$E$200)</f>
        <v>1192</v>
      </c>
    </row>
    <row r="21" customFormat="false" ht="15" hidden="false" customHeight="false" outlineLevel="0" collapsed="false">
      <c r="A21" s="10" t="s">
        <v>77</v>
      </c>
      <c r="B21" s="10" t="s">
        <v>78</v>
      </c>
      <c r="C21" s="10" t="s">
        <v>79</v>
      </c>
      <c r="D21" s="11" t="n">
        <v>46418</v>
      </c>
      <c r="E21" s="12" t="n">
        <v>432</v>
      </c>
      <c r="F21" s="10" t="n">
        <f aca="false">IF(D21="","",ROUND((D21-Parametri!$B$3)/30.4375,1))</f>
        <v>4.1</v>
      </c>
      <c r="G21" s="10" t="str">
        <f aca="false">IF(P21&lt;&gt;O21,"Mancante temporaneamente (difformità)",IF(D21="","Mancante (senza scadenza)",IF(D21&lt;Parametri!$B$3,"Scaduto",IF(H21="","Prezzo mancante","Disponibile"))))</f>
        <v>Disponibile</v>
      </c>
      <c r="H21" s="13" t="n">
        <v>42</v>
      </c>
      <c r="I21" s="14" t="n">
        <f aca="false">Parametri!$B$4</f>
        <v>0.1</v>
      </c>
      <c r="J21" s="13" t="n">
        <f aca="false">IF(H21="","",ROUND(H21/(1+I21),2))</f>
        <v>38.18</v>
      </c>
      <c r="K21" s="14" t="n">
        <f aca="false">IF(G21&lt;&gt;"Disponibile","",IF(D21&gt;=EDATE(Parametri!$B$3,Parametri!$B$9),Parametri!$C$9,IF(D21&gt;=EDATE(Parametri!$B$3,Parametri!$B$10),Parametri!$C$10,Parametri!$C$11)))</f>
        <v>0.45</v>
      </c>
      <c r="L21" s="13" t="n">
        <f aca="false">IF(K21="","",ROUND(H21*(1-K21),2))</f>
        <v>23.1</v>
      </c>
      <c r="M21" s="13" t="n">
        <f aca="false">IF(K21="","",ROUND(L21/(1+I21),2))</f>
        <v>21</v>
      </c>
      <c r="N21" s="13" t="n">
        <f aca="false">IF(M21="","",E21*M21)</f>
        <v>9072</v>
      </c>
      <c r="O21" s="12" t="n">
        <v>432</v>
      </c>
      <c r="P21" s="10" t="n">
        <f aca="false">SUMIF($A$2:$A$200,A21,$E$2:$E$200)</f>
        <v>432</v>
      </c>
    </row>
    <row r="22" customFormat="false" ht="15" hidden="false" customHeight="false" outlineLevel="0" collapsed="false">
      <c r="A22" s="10" t="s">
        <v>80</v>
      </c>
      <c r="B22" s="10" t="s">
        <v>81</v>
      </c>
      <c r="C22" s="10" t="s">
        <v>82</v>
      </c>
      <c r="D22" s="11" t="n">
        <v>47177</v>
      </c>
      <c r="E22" s="12" t="n">
        <v>520</v>
      </c>
      <c r="F22" s="10" t="n">
        <f aca="false">IF(D22="","",ROUND((D22-Parametri!$B$3)/30.4375,1))</f>
        <v>29</v>
      </c>
      <c r="G22" s="10" t="str">
        <f aca="false">IF(P22&lt;&gt;O22,"Mancante temporaneamente (difformità)",IF(D22="","Mancante (senza scadenza)",IF(D22&lt;Parametri!$B$3,"Scaduto",IF(H22="","Prezzo mancante","Disponibile"))))</f>
        <v>Disponibile</v>
      </c>
      <c r="H22" s="13" t="n">
        <v>30</v>
      </c>
      <c r="I22" s="14" t="n">
        <f aca="false">Parametri!$B$4</f>
        <v>0.1</v>
      </c>
      <c r="J22" s="13" t="n">
        <f aca="false">IF(H22="","",ROUND(H22/(1+I22),2))</f>
        <v>27.27</v>
      </c>
      <c r="K22" s="14" t="n">
        <f aca="false">IF(G22&lt;&gt;"Disponibile","",IF(D22&gt;=EDATE(Parametri!$B$3,Parametri!$B$9),Parametri!$C$9,IF(D22&gt;=EDATE(Parametri!$B$3,Parametri!$B$10),Parametri!$C$10,Parametri!$C$11)))</f>
        <v>0.38</v>
      </c>
      <c r="L22" s="13" t="n">
        <f aca="false">IF(K22="","",ROUND(H22*(1-K22),2))</f>
        <v>18.6</v>
      </c>
      <c r="M22" s="13" t="n">
        <f aca="false">IF(K22="","",ROUND(L22/(1+I22),2))</f>
        <v>16.91</v>
      </c>
      <c r="N22" s="13" t="n">
        <f aca="false">IF(M22="","",E22*M22)</f>
        <v>8793.2</v>
      </c>
      <c r="O22" s="12" t="n">
        <v>1297</v>
      </c>
      <c r="P22" s="10" t="n">
        <f aca="false">SUMIF($A$2:$A$200,A22,$E$2:$E$200)</f>
        <v>1297</v>
      </c>
    </row>
    <row r="23" customFormat="false" ht="15" hidden="false" customHeight="false" outlineLevel="0" collapsed="false">
      <c r="A23" s="10" t="s">
        <v>80</v>
      </c>
      <c r="B23" s="10" t="s">
        <v>81</v>
      </c>
      <c r="C23" s="10" t="s">
        <v>83</v>
      </c>
      <c r="D23" s="11" t="n">
        <v>47299</v>
      </c>
      <c r="E23" s="12" t="n">
        <v>777</v>
      </c>
      <c r="F23" s="10" t="n">
        <f aca="false">IF(D23="","",ROUND((D23-Parametri!$B$3)/30.4375,1))</f>
        <v>33.1</v>
      </c>
      <c r="G23" s="10" t="str">
        <f aca="false">IF(P23&lt;&gt;O23,"Mancante temporaneamente (difformità)",IF(D23="","Mancante (senza scadenza)",IF(D23&lt;Parametri!$B$3,"Scaduto",IF(H23="","Prezzo mancante","Disponibile"))))</f>
        <v>Disponibile</v>
      </c>
      <c r="H23" s="13" t="n">
        <v>30</v>
      </c>
      <c r="I23" s="14" t="n">
        <f aca="false">Parametri!$B$4</f>
        <v>0.1</v>
      </c>
      <c r="J23" s="13" t="n">
        <f aca="false">IF(H23="","",ROUND(H23/(1+I23),2))</f>
        <v>27.27</v>
      </c>
      <c r="K23" s="14" t="n">
        <f aca="false">IF(G23&lt;&gt;"Disponibile","",IF(D23&gt;=EDATE(Parametri!$B$3,Parametri!$B$9),Parametri!$C$9,IF(D23&gt;=EDATE(Parametri!$B$3,Parametri!$B$10),Parametri!$C$10,Parametri!$C$11)))</f>
        <v>0.38</v>
      </c>
      <c r="L23" s="13" t="n">
        <f aca="false">IF(K23="","",ROUND(H23*(1-K23),2))</f>
        <v>18.6</v>
      </c>
      <c r="M23" s="13" t="n">
        <f aca="false">IF(K23="","",ROUND(L23/(1+I23),2))</f>
        <v>16.91</v>
      </c>
      <c r="N23" s="13" t="n">
        <f aca="false">IF(M23="","",E23*M23)</f>
        <v>13139.07</v>
      </c>
      <c r="O23" s="12" t="n">
        <v>1297</v>
      </c>
      <c r="P23" s="10" t="n">
        <f aca="false">SUMIF($A$2:$A$200,A23,$E$2:$E$200)</f>
        <v>1297</v>
      </c>
    </row>
    <row r="24" customFormat="false" ht="15" hidden="false" customHeight="false" outlineLevel="0" collapsed="false">
      <c r="A24" s="10" t="s">
        <v>84</v>
      </c>
      <c r="B24" s="10" t="s">
        <v>85</v>
      </c>
      <c r="C24" s="10" t="s">
        <v>86</v>
      </c>
      <c r="D24" s="11" t="n">
        <v>46873</v>
      </c>
      <c r="E24" s="12" t="n">
        <v>4</v>
      </c>
      <c r="F24" s="10" t="n">
        <f aca="false">IF(D24="","",ROUND((D24-Parametri!$B$3)/30.4375,1))</f>
        <v>19.1</v>
      </c>
      <c r="G24" s="10" t="str">
        <f aca="false">IF(P24&lt;&gt;O24,"Mancante temporaneamente (difformità)",IF(D24="","Mancante (senza scadenza)",IF(D24&lt;Parametri!$B$3,"Scaduto",IF(H24="","Prezzo mancante","Disponibile"))))</f>
        <v>Disponibile</v>
      </c>
      <c r="H24" s="13" t="n">
        <v>22.5</v>
      </c>
      <c r="I24" s="14" t="n">
        <f aca="false">Parametri!$B$4</f>
        <v>0.1</v>
      </c>
      <c r="J24" s="13" t="n">
        <f aca="false">IF(H24="","",ROUND(H24/(1+I24),2))</f>
        <v>20.45</v>
      </c>
      <c r="K24" s="14" t="n">
        <f aca="false">IF(G24&lt;&gt;"Disponibile","",IF(D24&gt;=EDATE(Parametri!$B$3,Parametri!$B$9),Parametri!$C$9,IF(D24&gt;=EDATE(Parametri!$B$3,Parametri!$B$10),Parametri!$C$10,Parametri!$C$11)))</f>
        <v>0.38</v>
      </c>
      <c r="L24" s="13" t="n">
        <f aca="false">IF(K24="","",ROUND(H24*(1-K24),2))</f>
        <v>13.95</v>
      </c>
      <c r="M24" s="13" t="n">
        <f aca="false">IF(K24="","",ROUND(L24/(1+I24),2))</f>
        <v>12.68</v>
      </c>
      <c r="N24" s="13" t="n">
        <f aca="false">IF(M24="","",E24*M24)</f>
        <v>50.72</v>
      </c>
      <c r="O24" s="12" t="n">
        <v>1003</v>
      </c>
      <c r="P24" s="10" t="n">
        <f aca="false">SUMIF($A$2:$A$200,A24,$E$2:$E$200)</f>
        <v>1003</v>
      </c>
    </row>
    <row r="25" customFormat="false" ht="15" hidden="false" customHeight="false" outlineLevel="0" collapsed="false">
      <c r="A25" s="10" t="s">
        <v>84</v>
      </c>
      <c r="B25" s="10" t="s">
        <v>85</v>
      </c>
      <c r="C25" s="10" t="s">
        <v>87</v>
      </c>
      <c r="D25" s="11" t="n">
        <v>47149</v>
      </c>
      <c r="E25" s="12" t="n">
        <v>999</v>
      </c>
      <c r="F25" s="10" t="n">
        <f aca="false">IF(D25="","",ROUND((D25-Parametri!$B$3)/30.4375,1))</f>
        <v>28.1</v>
      </c>
      <c r="G25" s="10" t="str">
        <f aca="false">IF(P25&lt;&gt;O25,"Mancante temporaneamente (difformità)",IF(D25="","Mancante (senza scadenza)",IF(D25&lt;Parametri!$B$3,"Scaduto",IF(H25="","Prezzo mancante","Disponibile"))))</f>
        <v>Disponibile</v>
      </c>
      <c r="H25" s="13" t="n">
        <v>22.5</v>
      </c>
      <c r="I25" s="14" t="n">
        <f aca="false">Parametri!$B$4</f>
        <v>0.1</v>
      </c>
      <c r="J25" s="13" t="n">
        <f aca="false">IF(H25="","",ROUND(H25/(1+I25),2))</f>
        <v>20.45</v>
      </c>
      <c r="K25" s="14" t="n">
        <f aca="false">IF(G25&lt;&gt;"Disponibile","",IF(D25&gt;=EDATE(Parametri!$B$3,Parametri!$B$9),Parametri!$C$9,IF(D25&gt;=EDATE(Parametri!$B$3,Parametri!$B$10),Parametri!$C$10,Parametri!$C$11)))</f>
        <v>0.38</v>
      </c>
      <c r="L25" s="13" t="n">
        <f aca="false">IF(K25="","",ROUND(H25*(1-K25),2))</f>
        <v>13.95</v>
      </c>
      <c r="M25" s="13" t="n">
        <f aca="false">IF(K25="","",ROUND(L25/(1+I25),2))</f>
        <v>12.68</v>
      </c>
      <c r="N25" s="13" t="n">
        <f aca="false">IF(M25="","",E25*M25)</f>
        <v>12667.32</v>
      </c>
      <c r="O25" s="12" t="n">
        <v>1003</v>
      </c>
      <c r="P25" s="10" t="n">
        <f aca="false">SUMIF($A$2:$A$200,A25,$E$2:$E$200)</f>
        <v>1003</v>
      </c>
    </row>
    <row r="26" customFormat="false" ht="15" hidden="false" customHeight="false" outlineLevel="0" collapsed="false">
      <c r="A26" s="10" t="s">
        <v>88</v>
      </c>
      <c r="B26" s="10" t="s">
        <v>89</v>
      </c>
      <c r="C26" s="10" t="s">
        <v>90</v>
      </c>
      <c r="D26" s="11" t="n">
        <v>46721</v>
      </c>
      <c r="E26" s="12" t="n">
        <v>770</v>
      </c>
      <c r="F26" s="10" t="n">
        <f aca="false">IF(D26="","",ROUND((D26-Parametri!$B$3)/30.4375,1))</f>
        <v>14.1</v>
      </c>
      <c r="G26" s="10" t="str">
        <f aca="false">IF(P26&lt;&gt;O26,"Mancante temporaneamente (difformità)",IF(D26="","Mancante (senza scadenza)",IF(D26&lt;Parametri!$B$3,"Scaduto",IF(H26="","Prezzo mancante","Disponibile"))))</f>
        <v>Disponibile</v>
      </c>
      <c r="H26" s="13" t="n">
        <v>20</v>
      </c>
      <c r="I26" s="14" t="n">
        <f aca="false">Parametri!$B$4</f>
        <v>0.1</v>
      </c>
      <c r="J26" s="13" t="n">
        <f aca="false">IF(H26="","",ROUND(H26/(1+I26),2))</f>
        <v>18.18</v>
      </c>
      <c r="K26" s="14" t="n">
        <f aca="false">IF(G26&lt;&gt;"Disponibile","",IF(D26&gt;=EDATE(Parametri!$B$3,Parametri!$B$9),Parametri!$C$9,IF(D26&gt;=EDATE(Parametri!$B$3,Parametri!$B$10),Parametri!$C$10,Parametri!$C$11)))</f>
        <v>0.38</v>
      </c>
      <c r="L26" s="13" t="n">
        <f aca="false">IF(K26="","",ROUND(H26*(1-K26),2))</f>
        <v>12.4</v>
      </c>
      <c r="M26" s="13" t="n">
        <f aca="false">IF(K26="","",ROUND(L26/(1+I26),2))</f>
        <v>11.27</v>
      </c>
      <c r="N26" s="13" t="n">
        <f aca="false">IF(M26="","",E26*M26)</f>
        <v>8677.9</v>
      </c>
      <c r="O26" s="12" t="n">
        <v>770</v>
      </c>
      <c r="P26" s="10" t="n">
        <f aca="false">SUMIF($A$2:$A$200,A26,$E$2:$E$200)</f>
        <v>770</v>
      </c>
    </row>
    <row r="27" customFormat="false" ht="15" hidden="false" customHeight="false" outlineLevel="0" collapsed="false">
      <c r="A27" s="10" t="s">
        <v>91</v>
      </c>
      <c r="B27" s="10" t="s">
        <v>92</v>
      </c>
      <c r="C27" s="10" t="s">
        <v>93</v>
      </c>
      <c r="D27" s="11" t="n">
        <v>46843</v>
      </c>
      <c r="E27" s="12" t="n">
        <v>346</v>
      </c>
      <c r="F27" s="10" t="n">
        <f aca="false">IF(D27="","",ROUND((D27-Parametri!$B$3)/30.4375,1))</f>
        <v>18.1</v>
      </c>
      <c r="G27" s="10" t="str">
        <f aca="false">IF(P27&lt;&gt;O27,"Mancante temporaneamente (difformità)",IF(D27="","Mancante (senza scadenza)",IF(D27&lt;Parametri!$B$3,"Scaduto",IF(H27="","Prezzo mancante","Disponibile"))))</f>
        <v>Disponibile</v>
      </c>
      <c r="H27" s="13" t="n">
        <v>25.5</v>
      </c>
      <c r="I27" s="14" t="n">
        <f aca="false">Parametri!$B$4</f>
        <v>0.1</v>
      </c>
      <c r="J27" s="13" t="n">
        <f aca="false">IF(H27="","",ROUND(H27/(1+I27),2))</f>
        <v>23.18</v>
      </c>
      <c r="K27" s="14" t="n">
        <f aca="false">IF(G27&lt;&gt;"Disponibile","",IF(D27&gt;=EDATE(Parametri!$B$3,Parametri!$B$9),Parametri!$C$9,IF(D27&gt;=EDATE(Parametri!$B$3,Parametri!$B$10),Parametri!$C$10,Parametri!$C$11)))</f>
        <v>0.38</v>
      </c>
      <c r="L27" s="13" t="n">
        <f aca="false">IF(K27="","",ROUND(H27*(1-K27),2))</f>
        <v>15.81</v>
      </c>
      <c r="M27" s="13" t="n">
        <f aca="false">IF(K27="","",ROUND(L27/(1+I27),2))</f>
        <v>14.37</v>
      </c>
      <c r="N27" s="13" t="n">
        <f aca="false">IF(M27="","",E27*M27)</f>
        <v>4972.02</v>
      </c>
      <c r="O27" s="12" t="n">
        <v>346</v>
      </c>
      <c r="P27" s="10" t="n">
        <f aca="false">SUMIF($A$2:$A$200,A27,$E$2:$E$200)</f>
        <v>346</v>
      </c>
    </row>
    <row r="28" customFormat="false" ht="15" hidden="false" customHeight="false" outlineLevel="0" collapsed="false">
      <c r="A28" s="10" t="s">
        <v>94</v>
      </c>
      <c r="B28" s="10" t="s">
        <v>95</v>
      </c>
      <c r="C28" s="10" t="s">
        <v>96</v>
      </c>
      <c r="D28" s="11" t="n">
        <v>47269</v>
      </c>
      <c r="E28" s="12" t="n">
        <v>1241</v>
      </c>
      <c r="F28" s="10" t="n">
        <f aca="false">IF(D28="","",ROUND((D28-Parametri!$B$3)/30.4375,1))</f>
        <v>32.1</v>
      </c>
      <c r="G28" s="10" t="str">
        <f aca="false">IF(P28&lt;&gt;O28,"Mancante temporaneamente (difformità)",IF(D28="","Mancante (senza scadenza)",IF(D28&lt;Parametri!$B$3,"Scaduto",IF(H28="","Prezzo mancante","Disponibile"))))</f>
        <v>Disponibile</v>
      </c>
      <c r="H28" s="13" t="n">
        <v>30</v>
      </c>
      <c r="I28" s="14" t="n">
        <f aca="false">Parametri!$B$4</f>
        <v>0.1</v>
      </c>
      <c r="J28" s="13" t="n">
        <f aca="false">IF(H28="","",ROUND(H28/(1+I28),2))</f>
        <v>27.27</v>
      </c>
      <c r="K28" s="14" t="n">
        <f aca="false">IF(G28&lt;&gt;"Disponibile","",IF(D28&gt;=EDATE(Parametri!$B$3,Parametri!$B$9),Parametri!$C$9,IF(D28&gt;=EDATE(Parametri!$B$3,Parametri!$B$10),Parametri!$C$10,Parametri!$C$11)))</f>
        <v>0.38</v>
      </c>
      <c r="L28" s="13" t="n">
        <f aca="false">IF(K28="","",ROUND(H28*(1-K28),2))</f>
        <v>18.6</v>
      </c>
      <c r="M28" s="13" t="n">
        <f aca="false">IF(K28="","",ROUND(L28/(1+I28),2))</f>
        <v>16.91</v>
      </c>
      <c r="N28" s="13" t="n">
        <f aca="false">IF(M28="","",E28*M28)</f>
        <v>20985.31</v>
      </c>
      <c r="O28" s="12" t="n">
        <v>1241</v>
      </c>
      <c r="P28" s="10" t="n">
        <f aca="false">SUMIF($A$2:$A$200,A28,$E$2:$E$200)</f>
        <v>1241</v>
      </c>
    </row>
    <row r="29" customFormat="false" ht="15" hidden="false" customHeight="false" outlineLevel="0" collapsed="false">
      <c r="A29" s="10" t="s">
        <v>97</v>
      </c>
      <c r="B29" s="10" t="s">
        <v>98</v>
      </c>
      <c r="C29" s="10" t="s">
        <v>99</v>
      </c>
      <c r="D29" s="11" t="n">
        <v>47149</v>
      </c>
      <c r="E29" s="12" t="n">
        <v>795</v>
      </c>
      <c r="F29" s="10" t="n">
        <f aca="false">IF(D29="","",ROUND((D29-Parametri!$B$3)/30.4375,1))</f>
        <v>28.1</v>
      </c>
      <c r="G29" s="10" t="str">
        <f aca="false">IF(P29&lt;&gt;O29,"Mancante temporaneamente (difformità)",IF(D29="","Mancante (senza scadenza)",IF(D29&lt;Parametri!$B$3,"Scaduto",IF(H29="","Prezzo mancante","Disponibile"))))</f>
        <v>Disponibile</v>
      </c>
      <c r="H29" s="13" t="n">
        <v>27</v>
      </c>
      <c r="I29" s="14" t="n">
        <f aca="false">Parametri!$B$4</f>
        <v>0.1</v>
      </c>
      <c r="J29" s="13" t="n">
        <f aca="false">IF(H29="","",ROUND(H29/(1+I29),2))</f>
        <v>24.55</v>
      </c>
      <c r="K29" s="14" t="n">
        <f aca="false">IF(G29&lt;&gt;"Disponibile","",IF(D29&gt;=EDATE(Parametri!$B$3,Parametri!$B$9),Parametri!$C$9,IF(D29&gt;=EDATE(Parametri!$B$3,Parametri!$B$10),Parametri!$C$10,Parametri!$C$11)))</f>
        <v>0.38</v>
      </c>
      <c r="L29" s="13" t="n">
        <f aca="false">IF(K29="","",ROUND(H29*(1-K29),2))</f>
        <v>16.74</v>
      </c>
      <c r="M29" s="13" t="n">
        <f aca="false">IF(K29="","",ROUND(L29/(1+I29),2))</f>
        <v>15.22</v>
      </c>
      <c r="N29" s="13" t="n">
        <f aca="false">IF(M29="","",E29*M29)</f>
        <v>12099.9</v>
      </c>
      <c r="O29" s="12" t="n">
        <v>10215</v>
      </c>
      <c r="P29" s="10" t="n">
        <f aca="false">SUMIF($A$2:$A$200,A29,$E$2:$E$200)</f>
        <v>10215</v>
      </c>
    </row>
    <row r="30" customFormat="false" ht="15" hidden="false" customHeight="false" outlineLevel="0" collapsed="false">
      <c r="A30" s="10" t="s">
        <v>97</v>
      </c>
      <c r="B30" s="10" t="s">
        <v>98</v>
      </c>
      <c r="C30" s="10" t="s">
        <v>100</v>
      </c>
      <c r="D30" s="11" t="n">
        <v>47269</v>
      </c>
      <c r="E30" s="12" t="n">
        <v>9420</v>
      </c>
      <c r="F30" s="10" t="n">
        <f aca="false">IF(D30="","",ROUND((D30-Parametri!$B$3)/30.4375,1))</f>
        <v>32.1</v>
      </c>
      <c r="G30" s="10" t="str">
        <f aca="false">IF(P30&lt;&gt;O30,"Mancante temporaneamente (difformità)",IF(D30="","Mancante (senza scadenza)",IF(D30&lt;Parametri!$B$3,"Scaduto",IF(H30="","Prezzo mancante","Disponibile"))))</f>
        <v>Disponibile</v>
      </c>
      <c r="H30" s="13" t="n">
        <v>27</v>
      </c>
      <c r="I30" s="14" t="n">
        <f aca="false">Parametri!$B$4</f>
        <v>0.1</v>
      </c>
      <c r="J30" s="13" t="n">
        <f aca="false">IF(H30="","",ROUND(H30/(1+I30),2))</f>
        <v>24.55</v>
      </c>
      <c r="K30" s="14" t="n">
        <f aca="false">IF(G30&lt;&gt;"Disponibile","",IF(D30&gt;=EDATE(Parametri!$B$3,Parametri!$B$9),Parametri!$C$9,IF(D30&gt;=EDATE(Parametri!$B$3,Parametri!$B$10),Parametri!$C$10,Parametri!$C$11)))</f>
        <v>0.38</v>
      </c>
      <c r="L30" s="13" t="n">
        <f aca="false">IF(K30="","",ROUND(H30*(1-K30),2))</f>
        <v>16.74</v>
      </c>
      <c r="M30" s="13" t="n">
        <f aca="false">IF(K30="","",ROUND(L30/(1+I30),2))</f>
        <v>15.22</v>
      </c>
      <c r="N30" s="13" t="n">
        <f aca="false">IF(M30="","",E30*M30)</f>
        <v>143372.4</v>
      </c>
      <c r="O30" s="12" t="n">
        <v>10215</v>
      </c>
      <c r="P30" s="10" t="n">
        <f aca="false">SUMIF($A$2:$A$200,A30,$E$2:$E$200)</f>
        <v>10215</v>
      </c>
    </row>
    <row r="31" customFormat="false" ht="15" hidden="false" customHeight="false" outlineLevel="0" collapsed="false">
      <c r="A31" s="10" t="s">
        <v>101</v>
      </c>
      <c r="B31" s="10" t="s">
        <v>102</v>
      </c>
      <c r="C31" s="10" t="s">
        <v>103</v>
      </c>
      <c r="D31" s="11" t="n">
        <v>46904</v>
      </c>
      <c r="E31" s="12" t="n">
        <v>3629</v>
      </c>
      <c r="F31" s="10" t="n">
        <f aca="false">IF(D31="","",ROUND((D31-Parametri!$B$3)/30.4375,1))</f>
        <v>20.1</v>
      </c>
      <c r="G31" s="10" t="str">
        <f aca="false">IF(P31&lt;&gt;O31,"Mancante temporaneamente (difformità)",IF(D31="","Mancante (senza scadenza)",IF(D31&lt;Parametri!$B$3,"Scaduto",IF(H31="","Prezzo mancante","Disponibile"))))</f>
        <v>Disponibile</v>
      </c>
      <c r="H31" s="13" t="n">
        <v>35</v>
      </c>
      <c r="I31" s="14" t="n">
        <f aca="false">Parametri!$B$4</f>
        <v>0.1</v>
      </c>
      <c r="J31" s="13" t="n">
        <f aca="false">IF(H31="","",ROUND(H31/(1+I31),2))</f>
        <v>31.82</v>
      </c>
      <c r="K31" s="14" t="n">
        <f aca="false">IF(G31&lt;&gt;"Disponibile","",IF(D31&gt;=EDATE(Parametri!$B$3,Parametri!$B$9),Parametri!$C$9,IF(D31&gt;=EDATE(Parametri!$B$3,Parametri!$B$10),Parametri!$C$10,Parametri!$C$11)))</f>
        <v>0.38</v>
      </c>
      <c r="L31" s="13" t="n">
        <f aca="false">IF(K31="","",ROUND(H31*(1-K31),2))</f>
        <v>21.7</v>
      </c>
      <c r="M31" s="13" t="n">
        <f aca="false">IF(K31="","",ROUND(L31/(1+I31),2))</f>
        <v>19.73</v>
      </c>
      <c r="N31" s="13" t="n">
        <f aca="false">IF(M31="","",E31*M31)</f>
        <v>71600.17</v>
      </c>
      <c r="O31" s="12" t="n">
        <v>3629</v>
      </c>
      <c r="P31" s="10" t="n">
        <f aca="false">SUMIF($A$2:$A$200,A31,$E$2:$E$200)</f>
        <v>3629</v>
      </c>
    </row>
    <row r="32" customFormat="false" ht="15" hidden="false" customHeight="false" outlineLevel="0" collapsed="false">
      <c r="A32" s="10" t="s">
        <v>104</v>
      </c>
      <c r="B32" s="10" t="s">
        <v>105</v>
      </c>
      <c r="C32" s="10" t="s">
        <v>106</v>
      </c>
      <c r="D32" s="11" t="n">
        <v>47149</v>
      </c>
      <c r="E32" s="12" t="n">
        <v>8067</v>
      </c>
      <c r="F32" s="10" t="n">
        <f aca="false">IF(D32="","",ROUND((D32-Parametri!$B$3)/30.4375,1))</f>
        <v>28.1</v>
      </c>
      <c r="G32" s="10" t="str">
        <f aca="false">IF(P32&lt;&gt;O32,"Mancante temporaneamente (difformità)",IF(D32="","Mancante (senza scadenza)",IF(D32&lt;Parametri!$B$3,"Scaduto",IF(H32="","Prezzo mancante","Disponibile"))))</f>
        <v>Disponibile</v>
      </c>
      <c r="H32" s="13" t="n">
        <v>27</v>
      </c>
      <c r="I32" s="14" t="n">
        <f aca="false">Parametri!$B$4</f>
        <v>0.1</v>
      </c>
      <c r="J32" s="13" t="n">
        <f aca="false">IF(H32="","",ROUND(H32/(1+I32),2))</f>
        <v>24.55</v>
      </c>
      <c r="K32" s="14" t="n">
        <f aca="false">IF(G32&lt;&gt;"Disponibile","",IF(D32&gt;=EDATE(Parametri!$B$3,Parametri!$B$9),Parametri!$C$9,IF(D32&gt;=EDATE(Parametri!$B$3,Parametri!$B$10),Parametri!$C$10,Parametri!$C$11)))</f>
        <v>0.38</v>
      </c>
      <c r="L32" s="13" t="n">
        <f aca="false">IF(K32="","",ROUND(H32*(1-K32),2))</f>
        <v>16.74</v>
      </c>
      <c r="M32" s="13" t="n">
        <f aca="false">IF(K32="","",ROUND(L32/(1+I32),2))</f>
        <v>15.22</v>
      </c>
      <c r="N32" s="13" t="n">
        <f aca="false">IF(M32="","",E32*M32)</f>
        <v>122779.74</v>
      </c>
      <c r="O32" s="12" t="n">
        <v>8067</v>
      </c>
      <c r="P32" s="10" t="n">
        <f aca="false">SUMIF($A$2:$A$200,A32,$E$2:$E$200)</f>
        <v>8067</v>
      </c>
    </row>
    <row r="33" customFormat="false" ht="15" hidden="false" customHeight="false" outlineLevel="0" collapsed="false">
      <c r="A33" s="10" t="s">
        <v>107</v>
      </c>
      <c r="B33" s="10" t="s">
        <v>108</v>
      </c>
      <c r="C33" s="10" t="s">
        <v>109</v>
      </c>
      <c r="D33" s="11" t="n">
        <v>46387</v>
      </c>
      <c r="E33" s="12" t="n">
        <v>193</v>
      </c>
      <c r="F33" s="10" t="n">
        <f aca="false">IF(D33="","",ROUND((D33-Parametri!$B$3)/30.4375,1))</f>
        <v>3.1</v>
      </c>
      <c r="G33" s="10" t="str">
        <f aca="false">IF(P33&lt;&gt;O33,"Mancante temporaneamente (difformità)",IF(D33="","Mancante (senza scadenza)",IF(D33&lt;Parametri!$B$3,"Scaduto",IF(H33="","Prezzo mancante","Disponibile"))))</f>
        <v>Prezzo mancante</v>
      </c>
      <c r="H33" s="13"/>
      <c r="I33" s="14" t="n">
        <f aca="false">Parametri!$B$4</f>
        <v>0.1</v>
      </c>
      <c r="J33" s="13" t="str">
        <f aca="false">IF(H33="","",ROUND(H33/(1+I33),2))</f>
        <v/>
      </c>
      <c r="K33" s="14" t="str">
        <f aca="false">IF(G33&lt;&gt;"Disponibile","",IF(D33&gt;=EDATE(Parametri!$B$3,Parametri!$B$9),Parametri!$C$9,IF(D33&gt;=EDATE(Parametri!$B$3,Parametri!$B$10),Parametri!$C$10,Parametri!$C$11)))</f>
        <v/>
      </c>
      <c r="L33" s="13" t="str">
        <f aca="false">IF(K33="","",ROUND(H33*(1-K33),2))</f>
        <v/>
      </c>
      <c r="M33" s="13" t="str">
        <f aca="false">IF(K33="","",ROUND(L33/(1+I33),2))</f>
        <v/>
      </c>
      <c r="N33" s="13" t="str">
        <f aca="false">IF(M33="","",E33*M33)</f>
        <v/>
      </c>
      <c r="O33" s="12" t="n">
        <v>193</v>
      </c>
      <c r="P33" s="10" t="n">
        <f aca="false">SUMIF($A$2:$A$200,A33,$E$2:$E$200)</f>
        <v>193</v>
      </c>
    </row>
    <row r="34" customFormat="false" ht="15" hidden="false" customHeight="false" outlineLevel="0" collapsed="false">
      <c r="A34" s="10" t="s">
        <v>110</v>
      </c>
      <c r="B34" s="10" t="s">
        <v>111</v>
      </c>
      <c r="C34" s="10" t="s">
        <v>112</v>
      </c>
      <c r="D34" s="11" t="n">
        <v>46418</v>
      </c>
      <c r="E34" s="12" t="n">
        <v>461</v>
      </c>
      <c r="F34" s="10" t="n">
        <f aca="false">IF(D34="","",ROUND((D34-Parametri!$B$3)/30.4375,1))</f>
        <v>4.1</v>
      </c>
      <c r="G34" s="10" t="str">
        <f aca="false">IF(P34&lt;&gt;O34,"Mancante temporaneamente (difformità)",IF(D34="","Mancante (senza scadenza)",IF(D34&lt;Parametri!$B$3,"Scaduto",IF(H34="","Prezzo mancante","Disponibile"))))</f>
        <v>Prezzo mancante</v>
      </c>
      <c r="H34" s="13"/>
      <c r="I34" s="14" t="n">
        <f aca="false">Parametri!$B$4</f>
        <v>0.1</v>
      </c>
      <c r="J34" s="13" t="str">
        <f aca="false">IF(H34="","",ROUND(H34/(1+I34),2))</f>
        <v/>
      </c>
      <c r="K34" s="14" t="str">
        <f aca="false">IF(G34&lt;&gt;"Disponibile","",IF(D34&gt;=EDATE(Parametri!$B$3,Parametri!$B$9),Parametri!$C$9,IF(D34&gt;=EDATE(Parametri!$B$3,Parametri!$B$10),Parametri!$C$10,Parametri!$C$11)))</f>
        <v/>
      </c>
      <c r="L34" s="13" t="str">
        <f aca="false">IF(K34="","",ROUND(H34*(1-K34),2))</f>
        <v/>
      </c>
      <c r="M34" s="13" t="str">
        <f aca="false">IF(K34="","",ROUND(L34/(1+I34),2))</f>
        <v/>
      </c>
      <c r="N34" s="13" t="str">
        <f aca="false">IF(M34="","",E34*M34)</f>
        <v/>
      </c>
      <c r="O34" s="12" t="n">
        <v>461</v>
      </c>
      <c r="P34" s="10" t="n">
        <f aca="false">SUMIF($A$2:$A$200,A34,$E$2:$E$200)</f>
        <v>461</v>
      </c>
    </row>
    <row r="35" customFormat="false" ht="15" hidden="false" customHeight="false" outlineLevel="0" collapsed="false">
      <c r="A35" s="10" t="s">
        <v>113</v>
      </c>
      <c r="B35" s="10" t="s">
        <v>114</v>
      </c>
      <c r="C35" s="10" t="s">
        <v>83</v>
      </c>
      <c r="D35" s="11" t="n">
        <v>47149</v>
      </c>
      <c r="E35" s="12" t="n">
        <v>836</v>
      </c>
      <c r="F35" s="10" t="n">
        <f aca="false">IF(D35="","",ROUND((D35-Parametri!$B$3)/30.4375,1))</f>
        <v>28.1</v>
      </c>
      <c r="G35" s="10" t="str">
        <f aca="false">IF(P35&lt;&gt;O35,"Mancante temporaneamente (difformità)",IF(D35="","Mancante (senza scadenza)",IF(D35&lt;Parametri!$B$3,"Scaduto",IF(H35="","Prezzo mancante","Disponibile"))))</f>
        <v>Disponibile</v>
      </c>
      <c r="H35" s="13" t="n">
        <v>28.5</v>
      </c>
      <c r="I35" s="14" t="n">
        <f aca="false">Parametri!$B$4</f>
        <v>0.1</v>
      </c>
      <c r="J35" s="13" t="n">
        <f aca="false">IF(H35="","",ROUND(H35/(1+I35),2))</f>
        <v>25.91</v>
      </c>
      <c r="K35" s="14" t="n">
        <f aca="false">IF(G35&lt;&gt;"Disponibile","",IF(D35&gt;=EDATE(Parametri!$B$3,Parametri!$B$9),Parametri!$C$9,IF(D35&gt;=EDATE(Parametri!$B$3,Parametri!$B$10),Parametri!$C$10,Parametri!$C$11)))</f>
        <v>0.38</v>
      </c>
      <c r="L35" s="13" t="n">
        <f aca="false">IF(K35="","",ROUND(H35*(1-K35),2))</f>
        <v>17.67</v>
      </c>
      <c r="M35" s="13" t="n">
        <f aca="false">IF(K35="","",ROUND(L35/(1+I35),2))</f>
        <v>16.06</v>
      </c>
      <c r="N35" s="13" t="n">
        <f aca="false">IF(M35="","",E35*M35)</f>
        <v>13426.16</v>
      </c>
      <c r="O35" s="12" t="n">
        <v>5230</v>
      </c>
      <c r="P35" s="10" t="n">
        <f aca="false">SUMIF($A$2:$A$200,A35,$E$2:$E$200)</f>
        <v>5230</v>
      </c>
    </row>
    <row r="36" customFormat="false" ht="15" hidden="false" customHeight="false" outlineLevel="0" collapsed="false">
      <c r="A36" s="10" t="s">
        <v>113</v>
      </c>
      <c r="B36" s="10" t="s">
        <v>114</v>
      </c>
      <c r="C36" s="10" t="s">
        <v>32</v>
      </c>
      <c r="D36" s="11" t="n">
        <v>47269</v>
      </c>
      <c r="E36" s="12" t="n">
        <v>4394</v>
      </c>
      <c r="F36" s="10" t="n">
        <f aca="false">IF(D36="","",ROUND((D36-Parametri!$B$3)/30.4375,1))</f>
        <v>32.1</v>
      </c>
      <c r="G36" s="10" t="str">
        <f aca="false">IF(P36&lt;&gt;O36,"Mancante temporaneamente (difformità)",IF(D36="","Mancante (senza scadenza)",IF(D36&lt;Parametri!$B$3,"Scaduto",IF(H36="","Prezzo mancante","Disponibile"))))</f>
        <v>Disponibile</v>
      </c>
      <c r="H36" s="13" t="n">
        <v>28.5</v>
      </c>
      <c r="I36" s="14" t="n">
        <f aca="false">Parametri!$B$4</f>
        <v>0.1</v>
      </c>
      <c r="J36" s="13" t="n">
        <f aca="false">IF(H36="","",ROUND(H36/(1+I36),2))</f>
        <v>25.91</v>
      </c>
      <c r="K36" s="14" t="n">
        <f aca="false">IF(G36&lt;&gt;"Disponibile","",IF(D36&gt;=EDATE(Parametri!$B$3,Parametri!$B$9),Parametri!$C$9,IF(D36&gt;=EDATE(Parametri!$B$3,Parametri!$B$10),Parametri!$C$10,Parametri!$C$11)))</f>
        <v>0.38</v>
      </c>
      <c r="L36" s="13" t="n">
        <f aca="false">IF(K36="","",ROUND(H36*(1-K36),2))</f>
        <v>17.67</v>
      </c>
      <c r="M36" s="13" t="n">
        <f aca="false">IF(K36="","",ROUND(L36/(1+I36),2))</f>
        <v>16.06</v>
      </c>
      <c r="N36" s="13" t="n">
        <f aca="false">IF(M36="","",E36*M36)</f>
        <v>70567.64</v>
      </c>
      <c r="O36" s="12" t="n">
        <v>5230</v>
      </c>
      <c r="P36" s="10" t="n">
        <f aca="false">SUMIF($A$2:$A$200,A36,$E$2:$E$200)</f>
        <v>5230</v>
      </c>
    </row>
    <row r="37" customFormat="false" ht="15" hidden="false" customHeight="false" outlineLevel="0" collapsed="false">
      <c r="A37" s="10" t="s">
        <v>115</v>
      </c>
      <c r="B37" s="10" t="s">
        <v>116</v>
      </c>
      <c r="C37" s="10" t="s">
        <v>83</v>
      </c>
      <c r="D37" s="11" t="n">
        <v>47026</v>
      </c>
      <c r="E37" s="12" t="n">
        <v>2330</v>
      </c>
      <c r="F37" s="10" t="n">
        <f aca="false">IF(D37="","",ROUND((D37-Parametri!$B$3)/30.4375,1))</f>
        <v>24.1</v>
      </c>
      <c r="G37" s="10" t="str">
        <f aca="false">IF(P37&lt;&gt;O37,"Mancante temporaneamente (difformità)",IF(D37="","Mancante (senza scadenza)",IF(D37&lt;Parametri!$B$3,"Scaduto",IF(H37="","Prezzo mancante","Disponibile"))))</f>
        <v>Disponibile</v>
      </c>
      <c r="H37" s="13" t="n">
        <v>22.5</v>
      </c>
      <c r="I37" s="14" t="n">
        <f aca="false">Parametri!$B$4</f>
        <v>0.1</v>
      </c>
      <c r="J37" s="13" t="n">
        <f aca="false">IF(H37="","",ROUND(H37/(1+I37),2))</f>
        <v>20.45</v>
      </c>
      <c r="K37" s="14" t="n">
        <f aca="false">IF(G37&lt;&gt;"Disponibile","",IF(D37&gt;=EDATE(Parametri!$B$3,Parametri!$B$9),Parametri!$C$9,IF(D37&gt;=EDATE(Parametri!$B$3,Parametri!$B$10),Parametri!$C$10,Parametri!$C$11)))</f>
        <v>0.38</v>
      </c>
      <c r="L37" s="13" t="n">
        <f aca="false">IF(K37="","",ROUND(H37*(1-K37),2))</f>
        <v>13.95</v>
      </c>
      <c r="M37" s="13" t="n">
        <f aca="false">IF(K37="","",ROUND(L37/(1+I37),2))</f>
        <v>12.68</v>
      </c>
      <c r="N37" s="13" t="n">
        <f aca="false">IF(M37="","",E37*M37)</f>
        <v>29544.4</v>
      </c>
      <c r="O37" s="12" t="n">
        <v>4330</v>
      </c>
      <c r="P37" s="10" t="n">
        <f aca="false">SUMIF($A$2:$A$200,A37,$E$2:$E$200)</f>
        <v>4330</v>
      </c>
    </row>
    <row r="38" customFormat="false" ht="15" hidden="false" customHeight="false" outlineLevel="0" collapsed="false">
      <c r="A38" s="10" t="s">
        <v>115</v>
      </c>
      <c r="B38" s="10" t="s">
        <v>116</v>
      </c>
      <c r="C38" s="10" t="s">
        <v>54</v>
      </c>
      <c r="D38" s="11" t="n">
        <v>47391</v>
      </c>
      <c r="E38" s="12" t="n">
        <v>2000</v>
      </c>
      <c r="F38" s="10" t="n">
        <f aca="false">IF(D38="","",ROUND((D38-Parametri!$B$3)/30.4375,1))</f>
        <v>36.1</v>
      </c>
      <c r="G38" s="10" t="str">
        <f aca="false">IF(P38&lt;&gt;O38,"Mancante temporaneamente (difformità)",IF(D38="","Mancante (senza scadenza)",IF(D38&lt;Parametri!$B$3,"Scaduto",IF(H38="","Prezzo mancante","Disponibile"))))</f>
        <v>Disponibile</v>
      </c>
      <c r="H38" s="13" t="n">
        <v>22.5</v>
      </c>
      <c r="I38" s="14" t="n">
        <f aca="false">Parametri!$B$4</f>
        <v>0.1</v>
      </c>
      <c r="J38" s="13" t="n">
        <f aca="false">IF(H38="","",ROUND(H38/(1+I38),2))</f>
        <v>20.45</v>
      </c>
      <c r="K38" s="14" t="n">
        <f aca="false">IF(G38&lt;&gt;"Disponibile","",IF(D38&gt;=EDATE(Parametri!$B$3,Parametri!$B$9),Parametri!$C$9,IF(D38&gt;=EDATE(Parametri!$B$3,Parametri!$B$10),Parametri!$C$10,Parametri!$C$11)))</f>
        <v>0.38</v>
      </c>
      <c r="L38" s="13" t="n">
        <f aca="false">IF(K38="","",ROUND(H38*(1-K38),2))</f>
        <v>13.95</v>
      </c>
      <c r="M38" s="13" t="n">
        <f aca="false">IF(K38="","",ROUND(L38/(1+I38),2))</f>
        <v>12.68</v>
      </c>
      <c r="N38" s="13" t="n">
        <f aca="false">IF(M38="","",E38*M38)</f>
        <v>25360</v>
      </c>
      <c r="O38" s="12" t="n">
        <v>4330</v>
      </c>
      <c r="P38" s="10" t="n">
        <f aca="false">SUMIF($A$2:$A$200,A38,$E$2:$E$200)</f>
        <v>4330</v>
      </c>
    </row>
    <row r="39" customFormat="false" ht="15" hidden="false" customHeight="false" outlineLevel="0" collapsed="false">
      <c r="A39" s="10" t="s">
        <v>117</v>
      </c>
      <c r="B39" s="10" t="s">
        <v>118</v>
      </c>
      <c r="C39" s="10" t="s">
        <v>82</v>
      </c>
      <c r="D39" s="11" t="n">
        <v>47177</v>
      </c>
      <c r="E39" s="12" t="n">
        <v>663</v>
      </c>
      <c r="F39" s="10" t="n">
        <f aca="false">IF(D39="","",ROUND((D39-Parametri!$B$3)/30.4375,1))</f>
        <v>29</v>
      </c>
      <c r="G39" s="10" t="str">
        <f aca="false">IF(P39&lt;&gt;O39,"Mancante temporaneamente (difformità)",IF(D39="","Mancante (senza scadenza)",IF(D39&lt;Parametri!$B$3,"Scaduto",IF(H39="","Prezzo mancante","Disponibile"))))</f>
        <v>Disponibile</v>
      </c>
      <c r="H39" s="13" t="n">
        <v>22.5</v>
      </c>
      <c r="I39" s="14" t="n">
        <f aca="false">Parametri!$B$4</f>
        <v>0.1</v>
      </c>
      <c r="J39" s="13" t="n">
        <f aca="false">IF(H39="","",ROUND(H39/(1+I39),2))</f>
        <v>20.45</v>
      </c>
      <c r="K39" s="14" t="n">
        <f aca="false">IF(G39&lt;&gt;"Disponibile","",IF(D39&gt;=EDATE(Parametri!$B$3,Parametri!$B$9),Parametri!$C$9,IF(D39&gt;=EDATE(Parametri!$B$3,Parametri!$B$10),Parametri!$C$10,Parametri!$C$11)))</f>
        <v>0.38</v>
      </c>
      <c r="L39" s="13" t="n">
        <f aca="false">IF(K39="","",ROUND(H39*(1-K39),2))</f>
        <v>13.95</v>
      </c>
      <c r="M39" s="13" t="n">
        <f aca="false">IF(K39="","",ROUND(L39/(1+I39),2))</f>
        <v>12.68</v>
      </c>
      <c r="N39" s="13" t="n">
        <f aca="false">IF(M39="","",E39*M39)</f>
        <v>8406.84</v>
      </c>
      <c r="O39" s="12" t="n">
        <v>663</v>
      </c>
      <c r="P39" s="10" t="n">
        <f aca="false">SUMIF($A$2:$A$200,A39,$E$2:$E$200)</f>
        <v>663</v>
      </c>
    </row>
    <row r="40" customFormat="false" ht="15" hidden="false" customHeight="false" outlineLevel="0" collapsed="false">
      <c r="A40" s="10" t="s">
        <v>119</v>
      </c>
      <c r="B40" s="10" t="s">
        <v>120</v>
      </c>
      <c r="C40" s="10" t="s">
        <v>121</v>
      </c>
      <c r="D40" s="11" t="n">
        <v>46904</v>
      </c>
      <c r="E40" s="12" t="n">
        <v>1364</v>
      </c>
      <c r="F40" s="10" t="n">
        <f aca="false">IF(D40="","",ROUND((D40-Parametri!$B$3)/30.4375,1))</f>
        <v>20.1</v>
      </c>
      <c r="G40" s="10" t="str">
        <f aca="false">IF(P40&lt;&gt;O40,"Mancante temporaneamente (difformità)",IF(D40="","Mancante (senza scadenza)",IF(D40&lt;Parametri!$B$3,"Scaduto",IF(H40="","Prezzo mancante","Disponibile"))))</f>
        <v>Disponibile</v>
      </c>
      <c r="H40" s="13" t="n">
        <v>25</v>
      </c>
      <c r="I40" s="14" t="n">
        <f aca="false">Parametri!$B$4</f>
        <v>0.1</v>
      </c>
      <c r="J40" s="13" t="n">
        <f aca="false">IF(H40="","",ROUND(H40/(1+I40),2))</f>
        <v>22.73</v>
      </c>
      <c r="K40" s="14" t="n">
        <f aca="false">IF(G40&lt;&gt;"Disponibile","",IF(D40&gt;=EDATE(Parametri!$B$3,Parametri!$B$9),Parametri!$C$9,IF(D40&gt;=EDATE(Parametri!$B$3,Parametri!$B$10),Parametri!$C$10,Parametri!$C$11)))</f>
        <v>0.38</v>
      </c>
      <c r="L40" s="13" t="n">
        <f aca="false">IF(K40="","",ROUND(H40*(1-K40),2))</f>
        <v>15.5</v>
      </c>
      <c r="M40" s="13" t="n">
        <f aca="false">IF(K40="","",ROUND(L40/(1+I40),2))</f>
        <v>14.09</v>
      </c>
      <c r="N40" s="13" t="n">
        <f aca="false">IF(M40="","",E40*M40)</f>
        <v>19218.76</v>
      </c>
      <c r="O40" s="12" t="n">
        <v>1364</v>
      </c>
      <c r="P40" s="10" t="n">
        <f aca="false">SUMIF($A$2:$A$200,A40,$E$2:$E$200)</f>
        <v>1364</v>
      </c>
    </row>
    <row r="41" customFormat="false" ht="15" hidden="false" customHeight="false" outlineLevel="0" collapsed="false">
      <c r="A41" s="10" t="s">
        <v>122</v>
      </c>
      <c r="B41" s="10" t="s">
        <v>123</v>
      </c>
      <c r="C41" s="10" t="s">
        <v>124</v>
      </c>
      <c r="D41" s="11" t="n">
        <v>46630</v>
      </c>
      <c r="E41" s="12" t="n">
        <v>221</v>
      </c>
      <c r="F41" s="10" t="n">
        <f aca="false">IF(D41="","",ROUND((D41-Parametri!$B$3)/30.4375,1))</f>
        <v>11.1</v>
      </c>
      <c r="G41" s="10" t="str">
        <f aca="false">IF(P41&lt;&gt;O41,"Mancante temporaneamente (difformità)",IF(D41="","Mancante (senza scadenza)",IF(D41&lt;Parametri!$B$3,"Scaduto",IF(H41="","Prezzo mancante","Disponibile"))))</f>
        <v>Disponibile</v>
      </c>
      <c r="H41" s="13" t="n">
        <v>45</v>
      </c>
      <c r="I41" s="14" t="n">
        <f aca="false">Parametri!$B$4</f>
        <v>0.1</v>
      </c>
      <c r="J41" s="13" t="n">
        <f aca="false">IF(H41="","",ROUND(H41/(1+I41),2))</f>
        <v>40.91</v>
      </c>
      <c r="K41" s="14" t="n">
        <f aca="false">IF(G41&lt;&gt;"Disponibile","",IF(D41&gt;=EDATE(Parametri!$B$3,Parametri!$B$9),Parametri!$C$9,IF(D41&gt;=EDATE(Parametri!$B$3,Parametri!$B$10),Parametri!$C$10,Parametri!$C$11)))</f>
        <v>0.38</v>
      </c>
      <c r="L41" s="13" t="n">
        <f aca="false">IF(K41="","",ROUND(H41*(1-K41),2))</f>
        <v>27.9</v>
      </c>
      <c r="M41" s="13" t="n">
        <f aca="false">IF(K41="","",ROUND(L41/(1+I41),2))</f>
        <v>25.36</v>
      </c>
      <c r="N41" s="13" t="n">
        <f aca="false">IF(M41="","",E41*M41)</f>
        <v>5604.56</v>
      </c>
      <c r="O41" s="12" t="n">
        <v>1221</v>
      </c>
      <c r="P41" s="10" t="n">
        <f aca="false">SUMIF($A$2:$A$200,A41,$E$2:$E$200)</f>
        <v>1221</v>
      </c>
    </row>
    <row r="42" customFormat="false" ht="15" hidden="false" customHeight="false" outlineLevel="0" collapsed="false">
      <c r="A42" s="10" t="s">
        <v>122</v>
      </c>
      <c r="B42" s="10" t="s">
        <v>123</v>
      </c>
      <c r="C42" s="10" t="s">
        <v>125</v>
      </c>
      <c r="D42" s="11" t="n">
        <v>46965</v>
      </c>
      <c r="E42" s="12" t="n">
        <v>1000</v>
      </c>
      <c r="F42" s="10" t="n">
        <f aca="false">IF(D42="","",ROUND((D42-Parametri!$B$3)/30.4375,1))</f>
        <v>22.1</v>
      </c>
      <c r="G42" s="10" t="str">
        <f aca="false">IF(P42&lt;&gt;O42,"Mancante temporaneamente (difformità)",IF(D42="","Mancante (senza scadenza)",IF(D42&lt;Parametri!$B$3,"Scaduto",IF(H42="","Prezzo mancante","Disponibile"))))</f>
        <v>Disponibile</v>
      </c>
      <c r="H42" s="13" t="n">
        <v>45</v>
      </c>
      <c r="I42" s="14" t="n">
        <f aca="false">Parametri!$B$4</f>
        <v>0.1</v>
      </c>
      <c r="J42" s="13" t="n">
        <f aca="false">IF(H42="","",ROUND(H42/(1+I42),2))</f>
        <v>40.91</v>
      </c>
      <c r="K42" s="14" t="n">
        <f aca="false">IF(G42&lt;&gt;"Disponibile","",IF(D42&gt;=EDATE(Parametri!$B$3,Parametri!$B$9),Parametri!$C$9,IF(D42&gt;=EDATE(Parametri!$B$3,Parametri!$B$10),Parametri!$C$10,Parametri!$C$11)))</f>
        <v>0.38</v>
      </c>
      <c r="L42" s="13" t="n">
        <f aca="false">IF(K42="","",ROUND(H42*(1-K42),2))</f>
        <v>27.9</v>
      </c>
      <c r="M42" s="13" t="n">
        <f aca="false">IF(K42="","",ROUND(L42/(1+I42),2))</f>
        <v>25.36</v>
      </c>
      <c r="N42" s="13" t="n">
        <f aca="false">IF(M42="","",E42*M42)</f>
        <v>25360</v>
      </c>
      <c r="O42" s="12" t="n">
        <v>1221</v>
      </c>
      <c r="P42" s="10" t="n">
        <f aca="false">SUMIF($A$2:$A$200,A42,$E$2:$E$200)</f>
        <v>1221</v>
      </c>
    </row>
    <row r="43" customFormat="false" ht="15" hidden="false" customHeight="false" outlineLevel="0" collapsed="false">
      <c r="A43" s="10" t="s">
        <v>126</v>
      </c>
      <c r="B43" s="10" t="s">
        <v>127</v>
      </c>
      <c r="C43" s="10" t="s">
        <v>96</v>
      </c>
      <c r="D43" s="11" t="n">
        <v>47177</v>
      </c>
      <c r="E43" s="12" t="n">
        <v>968</v>
      </c>
      <c r="F43" s="10" t="n">
        <f aca="false">IF(D43="","",ROUND((D43-Parametri!$B$3)/30.4375,1))</f>
        <v>29</v>
      </c>
      <c r="G43" s="10" t="str">
        <f aca="false">IF(P43&lt;&gt;O43,"Mancante temporaneamente (difformità)",IF(D43="","Mancante (senza scadenza)",IF(D43&lt;Parametri!$B$3,"Scaduto",IF(H43="","Prezzo mancante","Disponibile"))))</f>
        <v>Disponibile</v>
      </c>
      <c r="H43" s="13" t="n">
        <v>22.5</v>
      </c>
      <c r="I43" s="14" t="n">
        <f aca="false">Parametri!$B$4</f>
        <v>0.1</v>
      </c>
      <c r="J43" s="13" t="n">
        <f aca="false">IF(H43="","",ROUND(H43/(1+I43),2))</f>
        <v>20.45</v>
      </c>
      <c r="K43" s="14" t="n">
        <f aca="false">IF(G43&lt;&gt;"Disponibile","",IF(D43&gt;=EDATE(Parametri!$B$3,Parametri!$B$9),Parametri!$C$9,IF(D43&gt;=EDATE(Parametri!$B$3,Parametri!$B$10),Parametri!$C$10,Parametri!$C$11)))</f>
        <v>0.38</v>
      </c>
      <c r="L43" s="13" t="n">
        <f aca="false">IF(K43="","",ROUND(H43*(1-K43),2))</f>
        <v>13.95</v>
      </c>
      <c r="M43" s="13" t="n">
        <f aca="false">IF(K43="","",ROUND(L43/(1+I43),2))</f>
        <v>12.68</v>
      </c>
      <c r="N43" s="13" t="n">
        <f aca="false">IF(M43="","",E43*M43)</f>
        <v>12274.24</v>
      </c>
      <c r="O43" s="12" t="n">
        <v>968</v>
      </c>
      <c r="P43" s="10" t="n">
        <f aca="false">SUMIF($A$2:$A$200,A43,$E$2:$E$200)</f>
        <v>968</v>
      </c>
    </row>
    <row r="44" customFormat="false" ht="15" hidden="false" customHeight="false" outlineLevel="0" collapsed="false">
      <c r="A44" s="10" t="s">
        <v>128</v>
      </c>
      <c r="B44" s="10" t="s">
        <v>129</v>
      </c>
      <c r="C44" s="10" t="s">
        <v>130</v>
      </c>
      <c r="D44" s="11" t="n">
        <v>46599</v>
      </c>
      <c r="E44" s="12" t="n">
        <v>908</v>
      </c>
      <c r="F44" s="10" t="n">
        <f aca="false">IF(D44="","",ROUND((D44-Parametri!$B$3)/30.4375,1))</f>
        <v>10.1</v>
      </c>
      <c r="G44" s="10" t="str">
        <f aca="false">IF(P44&lt;&gt;O44,"Mancante temporaneamente (difformità)",IF(D44="","Mancante (senza scadenza)",IF(D44&lt;Parametri!$B$3,"Scaduto",IF(H44="","Prezzo mancante","Disponibile"))))</f>
        <v>Disponibile</v>
      </c>
      <c r="H44" s="13" t="n">
        <v>24</v>
      </c>
      <c r="I44" s="14" t="n">
        <f aca="false">Parametri!$B$4</f>
        <v>0.1</v>
      </c>
      <c r="J44" s="13" t="n">
        <f aca="false">IF(H44="","",ROUND(H44/(1+I44),2))</f>
        <v>21.82</v>
      </c>
      <c r="K44" s="14" t="n">
        <f aca="false">IF(G44&lt;&gt;"Disponibile","",IF(D44&gt;=EDATE(Parametri!$B$3,Parametri!$B$9),Parametri!$C$9,IF(D44&gt;=EDATE(Parametri!$B$3,Parametri!$B$10),Parametri!$C$10,Parametri!$C$11)))</f>
        <v>0.38</v>
      </c>
      <c r="L44" s="13" t="n">
        <f aca="false">IF(K44="","",ROUND(H44*(1-K44),2))</f>
        <v>14.88</v>
      </c>
      <c r="M44" s="13" t="n">
        <f aca="false">IF(K44="","",ROUND(L44/(1+I44),2))</f>
        <v>13.53</v>
      </c>
      <c r="N44" s="13" t="n">
        <f aca="false">IF(M44="","",E44*M44)</f>
        <v>12285.24</v>
      </c>
      <c r="O44" s="12" t="n">
        <v>5892</v>
      </c>
      <c r="P44" s="10" t="n">
        <f aca="false">SUMIF($A$2:$A$200,A44,$E$2:$E$200)</f>
        <v>5892</v>
      </c>
    </row>
    <row r="45" customFormat="false" ht="15" hidden="false" customHeight="false" outlineLevel="0" collapsed="false">
      <c r="A45" s="10" t="s">
        <v>128</v>
      </c>
      <c r="B45" s="10" t="s">
        <v>129</v>
      </c>
      <c r="C45" s="10" t="s">
        <v>131</v>
      </c>
      <c r="D45" s="11" t="n">
        <v>47087</v>
      </c>
      <c r="E45" s="12" t="n">
        <v>4984</v>
      </c>
      <c r="F45" s="10" t="n">
        <f aca="false">IF(D45="","",ROUND((D45-Parametri!$B$3)/30.4375,1))</f>
        <v>26.1</v>
      </c>
      <c r="G45" s="10" t="str">
        <f aca="false">IF(P45&lt;&gt;O45,"Mancante temporaneamente (difformità)",IF(D45="","Mancante (senza scadenza)",IF(D45&lt;Parametri!$B$3,"Scaduto",IF(H45="","Prezzo mancante","Disponibile"))))</f>
        <v>Disponibile</v>
      </c>
      <c r="H45" s="13" t="n">
        <v>24</v>
      </c>
      <c r="I45" s="14" t="n">
        <f aca="false">Parametri!$B$4</f>
        <v>0.1</v>
      </c>
      <c r="J45" s="13" t="n">
        <f aca="false">IF(H45="","",ROUND(H45/(1+I45),2))</f>
        <v>21.82</v>
      </c>
      <c r="K45" s="14" t="n">
        <f aca="false">IF(G45&lt;&gt;"Disponibile","",IF(D45&gt;=EDATE(Parametri!$B$3,Parametri!$B$9),Parametri!$C$9,IF(D45&gt;=EDATE(Parametri!$B$3,Parametri!$B$10),Parametri!$C$10,Parametri!$C$11)))</f>
        <v>0.38</v>
      </c>
      <c r="L45" s="13" t="n">
        <f aca="false">IF(K45="","",ROUND(H45*(1-K45),2))</f>
        <v>14.88</v>
      </c>
      <c r="M45" s="13" t="n">
        <f aca="false">IF(K45="","",ROUND(L45/(1+I45),2))</f>
        <v>13.53</v>
      </c>
      <c r="N45" s="13" t="n">
        <f aca="false">IF(M45="","",E45*M45)</f>
        <v>67433.52</v>
      </c>
      <c r="O45" s="12" t="n">
        <v>5892</v>
      </c>
      <c r="P45" s="10" t="n">
        <f aca="false">SUMIF($A$2:$A$200,A45,$E$2:$E$200)</f>
        <v>5892</v>
      </c>
    </row>
    <row r="46" customFormat="false" ht="15" hidden="false" customHeight="false" outlineLevel="0" collapsed="false">
      <c r="A46" s="10" t="s">
        <v>132</v>
      </c>
      <c r="B46" s="10" t="s">
        <v>133</v>
      </c>
      <c r="C46" s="10" t="s">
        <v>134</v>
      </c>
      <c r="D46" s="11" t="n">
        <v>46326</v>
      </c>
      <c r="E46" s="12" t="n">
        <v>1101</v>
      </c>
      <c r="F46" s="10" t="n">
        <f aca="false">IF(D46="","",ROUND((D46-Parametri!$B$3)/30.4375,1))</f>
        <v>1.1</v>
      </c>
      <c r="G46" s="10" t="str">
        <f aca="false">IF(P46&lt;&gt;O46,"Mancante temporaneamente (difformità)",IF(D46="","Mancante (senza scadenza)",IF(D46&lt;Parametri!$B$3,"Scaduto",IF(H46="","Prezzo mancante","Disponibile"))))</f>
        <v>Prezzo mancante</v>
      </c>
      <c r="H46" s="13"/>
      <c r="I46" s="14" t="n">
        <f aca="false">Parametri!$B$4</f>
        <v>0.1</v>
      </c>
      <c r="J46" s="13" t="str">
        <f aca="false">IF(H46="","",ROUND(H46/(1+I46),2))</f>
        <v/>
      </c>
      <c r="K46" s="14" t="str">
        <f aca="false">IF(G46&lt;&gt;"Disponibile","",IF(D46&gt;=EDATE(Parametri!$B$3,Parametri!$B$9),Parametri!$C$9,IF(D46&gt;=EDATE(Parametri!$B$3,Parametri!$B$10),Parametri!$C$10,Parametri!$C$11)))</f>
        <v/>
      </c>
      <c r="L46" s="13" t="str">
        <f aca="false">IF(K46="","",ROUND(H46*(1-K46),2))</f>
        <v/>
      </c>
      <c r="M46" s="13" t="str">
        <f aca="false">IF(K46="","",ROUND(L46/(1+I46),2))</f>
        <v/>
      </c>
      <c r="N46" s="13" t="str">
        <f aca="false">IF(M46="","",E46*M46)</f>
        <v/>
      </c>
      <c r="O46" s="12" t="n">
        <v>1101</v>
      </c>
      <c r="P46" s="10" t="n">
        <f aca="false">SUMIF($A$2:$A$200,A46,$E$2:$E$200)</f>
        <v>1101</v>
      </c>
    </row>
    <row r="47" customFormat="false" ht="15" hidden="false" customHeight="false" outlineLevel="0" collapsed="false">
      <c r="A47" s="10" t="s">
        <v>135</v>
      </c>
      <c r="B47" s="10" t="s">
        <v>136</v>
      </c>
      <c r="C47" s="10" t="s">
        <v>137</v>
      </c>
      <c r="D47" s="11" t="n">
        <v>47177</v>
      </c>
      <c r="E47" s="12" t="n">
        <v>322</v>
      </c>
      <c r="F47" s="10" t="n">
        <f aca="false">IF(D47="","",ROUND((D47-Parametri!$B$3)/30.4375,1))</f>
        <v>29</v>
      </c>
      <c r="G47" s="10" t="str">
        <f aca="false">IF(P47&lt;&gt;O47,"Mancante temporaneamente (difformità)",IF(D47="","Mancante (senza scadenza)",IF(D47&lt;Parametri!$B$3,"Scaduto",IF(H47="","Prezzo mancante","Disponibile"))))</f>
        <v>Disponibile</v>
      </c>
      <c r="H47" s="13" t="n">
        <v>27</v>
      </c>
      <c r="I47" s="14" t="n">
        <f aca="false">Parametri!$B$4</f>
        <v>0.1</v>
      </c>
      <c r="J47" s="13" t="n">
        <f aca="false">IF(H47="","",ROUND(H47/(1+I47),2))</f>
        <v>24.55</v>
      </c>
      <c r="K47" s="14" t="n">
        <f aca="false">IF(G47&lt;&gt;"Disponibile","",IF(D47&gt;=EDATE(Parametri!$B$3,Parametri!$B$9),Parametri!$C$9,IF(D47&gt;=EDATE(Parametri!$B$3,Parametri!$B$10),Parametri!$C$10,Parametri!$C$11)))</f>
        <v>0.38</v>
      </c>
      <c r="L47" s="13" t="n">
        <f aca="false">IF(K47="","",ROUND(H47*(1-K47),2))</f>
        <v>16.74</v>
      </c>
      <c r="M47" s="13" t="n">
        <f aca="false">IF(K47="","",ROUND(L47/(1+I47),2))</f>
        <v>15.22</v>
      </c>
      <c r="N47" s="13" t="n">
        <f aca="false">IF(M47="","",E47*M47)</f>
        <v>4900.84</v>
      </c>
      <c r="O47" s="12" t="n">
        <v>2340</v>
      </c>
      <c r="P47" s="10" t="n">
        <f aca="false">SUMIF($A$2:$A$200,A47,$E$2:$E$200)</f>
        <v>2340</v>
      </c>
    </row>
    <row r="48" customFormat="false" ht="15" hidden="false" customHeight="false" outlineLevel="0" collapsed="false">
      <c r="A48" s="10" t="s">
        <v>135</v>
      </c>
      <c r="B48" s="10" t="s">
        <v>136</v>
      </c>
      <c r="C48" s="10" t="s">
        <v>138</v>
      </c>
      <c r="D48" s="11" t="n">
        <v>47269</v>
      </c>
      <c r="E48" s="12" t="n">
        <v>2018</v>
      </c>
      <c r="F48" s="10" t="n">
        <f aca="false">IF(D48="","",ROUND((D48-Parametri!$B$3)/30.4375,1))</f>
        <v>32.1</v>
      </c>
      <c r="G48" s="10" t="str">
        <f aca="false">IF(P48&lt;&gt;O48,"Mancante temporaneamente (difformità)",IF(D48="","Mancante (senza scadenza)",IF(D48&lt;Parametri!$B$3,"Scaduto",IF(H48="","Prezzo mancante","Disponibile"))))</f>
        <v>Disponibile</v>
      </c>
      <c r="H48" s="13" t="n">
        <v>27</v>
      </c>
      <c r="I48" s="14" t="n">
        <f aca="false">Parametri!$B$4</f>
        <v>0.1</v>
      </c>
      <c r="J48" s="13" t="n">
        <f aca="false">IF(H48="","",ROUND(H48/(1+I48),2))</f>
        <v>24.55</v>
      </c>
      <c r="K48" s="14" t="n">
        <f aca="false">IF(G48&lt;&gt;"Disponibile","",IF(D48&gt;=EDATE(Parametri!$B$3,Parametri!$B$9),Parametri!$C$9,IF(D48&gt;=EDATE(Parametri!$B$3,Parametri!$B$10),Parametri!$C$10,Parametri!$C$11)))</f>
        <v>0.38</v>
      </c>
      <c r="L48" s="13" t="n">
        <f aca="false">IF(K48="","",ROUND(H48*(1-K48),2))</f>
        <v>16.74</v>
      </c>
      <c r="M48" s="13" t="n">
        <f aca="false">IF(K48="","",ROUND(L48/(1+I48),2))</f>
        <v>15.22</v>
      </c>
      <c r="N48" s="13" t="n">
        <f aca="false">IF(M48="","",E48*M48)</f>
        <v>30713.96</v>
      </c>
      <c r="O48" s="12" t="n">
        <v>2340</v>
      </c>
      <c r="P48" s="10" t="n">
        <f aca="false">SUMIF($A$2:$A$200,A48,$E$2:$E$200)</f>
        <v>2340</v>
      </c>
    </row>
    <row r="49" customFormat="false" ht="15" hidden="false" customHeight="false" outlineLevel="0" collapsed="false">
      <c r="A49" s="10" t="s">
        <v>139</v>
      </c>
      <c r="B49" s="10" t="s">
        <v>140</v>
      </c>
      <c r="C49" s="10" t="s">
        <v>141</v>
      </c>
      <c r="D49" s="11"/>
      <c r="E49" s="12" t="n">
        <v>275</v>
      </c>
      <c r="F49" s="10" t="str">
        <f aca="false">IF(D49="","",ROUND((D49-Parametri!$B$3)/30.4375,1))</f>
        <v/>
      </c>
      <c r="G49" s="10" t="str">
        <f aca="false">IF(P49&lt;&gt;O49,"Mancante temporaneamente (difformità)",IF(D49="","Mancante (senza scadenza)",IF(D49&lt;Parametri!$B$3,"Scaduto",IF(H49="","Prezzo mancante","Disponibile"))))</f>
        <v>Mancante (senza scadenza)</v>
      </c>
      <c r="H49" s="13"/>
      <c r="I49" s="14" t="n">
        <f aca="false">Parametri!$B$4</f>
        <v>0.1</v>
      </c>
      <c r="J49" s="13" t="str">
        <f aca="false">IF(H49="","",ROUND(H49/(1+I49),2))</f>
        <v/>
      </c>
      <c r="K49" s="14" t="str">
        <f aca="false">IF(G49&lt;&gt;"Disponibile","",IF(D49&gt;=EDATE(Parametri!$B$3,Parametri!$B$9),Parametri!$C$9,IF(D49&gt;=EDATE(Parametri!$B$3,Parametri!$B$10),Parametri!$C$10,Parametri!$C$11)))</f>
        <v/>
      </c>
      <c r="L49" s="13" t="str">
        <f aca="false">IF(K49="","",ROUND(H49*(1-K49),2))</f>
        <v/>
      </c>
      <c r="M49" s="13" t="str">
        <f aca="false">IF(K49="","",ROUND(L49/(1+I49),2))</f>
        <v/>
      </c>
      <c r="N49" s="13" t="str">
        <f aca="false">IF(M49="","",E49*M49)</f>
        <v/>
      </c>
      <c r="O49" s="12" t="n">
        <v>275</v>
      </c>
      <c r="P49" s="10" t="n">
        <f aca="false">SUMIF($A$2:$A$200,A49,$E$2:$E$200)</f>
        <v>275</v>
      </c>
    </row>
    <row r="50" customFormat="false" ht="15" hidden="false" customHeight="false" outlineLevel="0" collapsed="false">
      <c r="A50" s="10" t="s">
        <v>142</v>
      </c>
      <c r="B50" s="10" t="s">
        <v>143</v>
      </c>
      <c r="C50" s="10" t="s">
        <v>144</v>
      </c>
      <c r="D50" s="11"/>
      <c r="E50" s="12" t="n">
        <v>120</v>
      </c>
      <c r="F50" s="10" t="str">
        <f aca="false">IF(D50="","",ROUND((D50-Parametri!$B$3)/30.4375,1))</f>
        <v/>
      </c>
      <c r="G50" s="10" t="str">
        <f aca="false">IF(P50&lt;&gt;O50,"Mancante temporaneamente (difformità)",IF(D50="","Mancante (senza scadenza)",IF(D50&lt;Parametri!$B$3,"Scaduto",IF(H50="","Prezzo mancante","Disponibile"))))</f>
        <v>Mancante (senza scadenza)</v>
      </c>
      <c r="H50" s="13"/>
      <c r="I50" s="14" t="n">
        <f aca="false">Parametri!$B$4</f>
        <v>0.1</v>
      </c>
      <c r="J50" s="13" t="str">
        <f aca="false">IF(H50="","",ROUND(H50/(1+I50),2))</f>
        <v/>
      </c>
      <c r="K50" s="14" t="str">
        <f aca="false">IF(G50&lt;&gt;"Disponibile","",IF(D50&gt;=EDATE(Parametri!$B$3,Parametri!$B$9),Parametri!$C$9,IF(D50&gt;=EDATE(Parametri!$B$3,Parametri!$B$10),Parametri!$C$10,Parametri!$C$11)))</f>
        <v/>
      </c>
      <c r="L50" s="13" t="str">
        <f aca="false">IF(K50="","",ROUND(H50*(1-K50),2))</f>
        <v/>
      </c>
      <c r="M50" s="13" t="str">
        <f aca="false">IF(K50="","",ROUND(L50/(1+I50),2))</f>
        <v/>
      </c>
      <c r="N50" s="13" t="str">
        <f aca="false">IF(M50="","",E50*M50)</f>
        <v/>
      </c>
      <c r="O50" s="12" t="n">
        <v>120</v>
      </c>
      <c r="P50" s="10" t="n">
        <f aca="false">SUMIF($A$2:$A$200,A50,$E$2:$E$200)</f>
        <v>120</v>
      </c>
    </row>
    <row r="51" customFormat="false" ht="15" hidden="false" customHeight="false" outlineLevel="0" collapsed="false">
      <c r="A51" s="10" t="s">
        <v>145</v>
      </c>
      <c r="B51" s="10" t="s">
        <v>146</v>
      </c>
      <c r="C51" s="10" t="s">
        <v>147</v>
      </c>
      <c r="D51" s="11" t="n">
        <v>47391</v>
      </c>
      <c r="E51" s="12" t="n">
        <v>998</v>
      </c>
      <c r="F51" s="10" t="n">
        <f aca="false">IF(D51="","",ROUND((D51-Parametri!$B$3)/30.4375,1))</f>
        <v>36.1</v>
      </c>
      <c r="G51" s="10" t="str">
        <f aca="false">IF(P51&lt;&gt;O51,"Mancante temporaneamente (difformità)",IF(D51="","Mancante (senza scadenza)",IF(D51&lt;Parametri!$B$3,"Scaduto",IF(H51="","Prezzo mancante","Disponibile"))))</f>
        <v>Disponibile</v>
      </c>
      <c r="H51" s="13" t="n">
        <v>27</v>
      </c>
      <c r="I51" s="14" t="n">
        <f aca="false">Parametri!$B$4</f>
        <v>0.1</v>
      </c>
      <c r="J51" s="13" t="n">
        <f aca="false">IF(H51="","",ROUND(H51/(1+I51),2))</f>
        <v>24.55</v>
      </c>
      <c r="K51" s="14" t="n">
        <f aca="false">IF(G51&lt;&gt;"Disponibile","",IF(D51&gt;=EDATE(Parametri!$B$3,Parametri!$B$9),Parametri!$C$9,IF(D51&gt;=EDATE(Parametri!$B$3,Parametri!$B$10),Parametri!$C$10,Parametri!$C$11)))</f>
        <v>0.38</v>
      </c>
      <c r="L51" s="13" t="n">
        <f aca="false">IF(K51="","",ROUND(H51*(1-K51),2))</f>
        <v>16.74</v>
      </c>
      <c r="M51" s="13" t="n">
        <f aca="false">IF(K51="","",ROUND(L51/(1+I51),2))</f>
        <v>15.22</v>
      </c>
      <c r="N51" s="13" t="n">
        <f aca="false">IF(M51="","",E51*M51)</f>
        <v>15189.56</v>
      </c>
      <c r="O51" s="12" t="n">
        <v>1482</v>
      </c>
      <c r="P51" s="10" t="n">
        <f aca="false">SUMIF($A$2:$A$200,A51,$E$2:$E$200)</f>
        <v>1482</v>
      </c>
    </row>
    <row r="52" customFormat="false" ht="15" hidden="false" customHeight="false" outlineLevel="0" collapsed="false">
      <c r="A52" s="10" t="s">
        <v>145</v>
      </c>
      <c r="B52" s="10" t="s">
        <v>146</v>
      </c>
      <c r="C52" s="10" t="s">
        <v>148</v>
      </c>
      <c r="D52" s="11" t="n">
        <v>46752</v>
      </c>
      <c r="E52" s="12" t="n">
        <v>484</v>
      </c>
      <c r="F52" s="10" t="n">
        <f aca="false">IF(D52="","",ROUND((D52-Parametri!$B$3)/30.4375,1))</f>
        <v>15.1</v>
      </c>
      <c r="G52" s="10" t="str">
        <f aca="false">IF(P52&lt;&gt;O52,"Mancante temporaneamente (difformità)",IF(D52="","Mancante (senza scadenza)",IF(D52&lt;Parametri!$B$3,"Scaduto",IF(H52="","Prezzo mancante","Disponibile"))))</f>
        <v>Disponibile</v>
      </c>
      <c r="H52" s="13" t="n">
        <v>27</v>
      </c>
      <c r="I52" s="14" t="n">
        <f aca="false">Parametri!$B$4</f>
        <v>0.1</v>
      </c>
      <c r="J52" s="13" t="n">
        <f aca="false">IF(H52="","",ROUND(H52/(1+I52),2))</f>
        <v>24.55</v>
      </c>
      <c r="K52" s="14" t="n">
        <f aca="false">IF(G52&lt;&gt;"Disponibile","",IF(D52&gt;=EDATE(Parametri!$B$3,Parametri!$B$9),Parametri!$C$9,IF(D52&gt;=EDATE(Parametri!$B$3,Parametri!$B$10),Parametri!$C$10,Parametri!$C$11)))</f>
        <v>0.38</v>
      </c>
      <c r="L52" s="13" t="n">
        <f aca="false">IF(K52="","",ROUND(H52*(1-K52),2))</f>
        <v>16.74</v>
      </c>
      <c r="M52" s="13" t="n">
        <f aca="false">IF(K52="","",ROUND(L52/(1+I52),2))</f>
        <v>15.22</v>
      </c>
      <c r="N52" s="13" t="n">
        <f aca="false">IF(M52="","",E52*M52)</f>
        <v>7366.48</v>
      </c>
      <c r="O52" s="12" t="n">
        <v>1482</v>
      </c>
      <c r="P52" s="10" t="n">
        <f aca="false">SUMIF($A$2:$A$200,A52,$E$2:$E$200)</f>
        <v>1482</v>
      </c>
    </row>
    <row r="53" customFormat="false" ht="15" hidden="false" customHeight="false" outlineLevel="0" collapsed="false">
      <c r="A53" s="10" t="s">
        <v>149</v>
      </c>
      <c r="B53" s="10" t="s">
        <v>150</v>
      </c>
      <c r="C53" s="10" t="s">
        <v>151</v>
      </c>
      <c r="D53" s="11" t="n">
        <v>46996</v>
      </c>
      <c r="E53" s="12" t="n">
        <v>483</v>
      </c>
      <c r="F53" s="10" t="n">
        <f aca="false">IF(D53="","",ROUND((D53-Parametri!$B$3)/30.4375,1))</f>
        <v>23.1</v>
      </c>
      <c r="G53" s="10" t="str">
        <f aca="false">IF(P53&lt;&gt;O53,"Mancante temporaneamente (difformità)",IF(D53="","Mancante (senza scadenza)",IF(D53&lt;Parametri!$B$3,"Scaduto",IF(H53="","Prezzo mancante","Disponibile"))))</f>
        <v>Disponibile</v>
      </c>
      <c r="H53" s="13" t="n">
        <v>27</v>
      </c>
      <c r="I53" s="14" t="n">
        <f aca="false">Parametri!$B$4</f>
        <v>0.1</v>
      </c>
      <c r="J53" s="13" t="n">
        <f aca="false">IF(H53="","",ROUND(H53/(1+I53),2))</f>
        <v>24.55</v>
      </c>
      <c r="K53" s="14" t="n">
        <f aca="false">IF(G53&lt;&gt;"Disponibile","",IF(D53&gt;=EDATE(Parametri!$B$3,Parametri!$B$9),Parametri!$C$9,IF(D53&gt;=EDATE(Parametri!$B$3,Parametri!$B$10),Parametri!$C$10,Parametri!$C$11)))</f>
        <v>0.38</v>
      </c>
      <c r="L53" s="13" t="n">
        <f aca="false">IF(K53="","",ROUND(H53*(1-K53),2))</f>
        <v>16.74</v>
      </c>
      <c r="M53" s="13" t="n">
        <f aca="false">IF(K53="","",ROUND(L53/(1+I53),2))</f>
        <v>15.22</v>
      </c>
      <c r="N53" s="13" t="n">
        <f aca="false">IF(M53="","",E53*M53)</f>
        <v>7351.26</v>
      </c>
      <c r="O53" s="12" t="n">
        <v>1499</v>
      </c>
      <c r="P53" s="10" t="n">
        <f aca="false">SUMIF($A$2:$A$200,A53,$E$2:$E$200)</f>
        <v>1499</v>
      </c>
    </row>
    <row r="54" customFormat="false" ht="15" hidden="false" customHeight="false" outlineLevel="0" collapsed="false">
      <c r="A54" s="10" t="s">
        <v>149</v>
      </c>
      <c r="B54" s="10" t="s">
        <v>150</v>
      </c>
      <c r="C54" s="10" t="s">
        <v>152</v>
      </c>
      <c r="D54" s="11" t="n">
        <v>47299</v>
      </c>
      <c r="E54" s="12" t="n">
        <v>1016</v>
      </c>
      <c r="F54" s="10" t="n">
        <f aca="false">IF(D54="","",ROUND((D54-Parametri!$B$3)/30.4375,1))</f>
        <v>33.1</v>
      </c>
      <c r="G54" s="10" t="str">
        <f aca="false">IF(P54&lt;&gt;O54,"Mancante temporaneamente (difformità)",IF(D54="","Mancante (senza scadenza)",IF(D54&lt;Parametri!$B$3,"Scaduto",IF(H54="","Prezzo mancante","Disponibile"))))</f>
        <v>Disponibile</v>
      </c>
      <c r="H54" s="13" t="n">
        <v>27</v>
      </c>
      <c r="I54" s="14" t="n">
        <f aca="false">Parametri!$B$4</f>
        <v>0.1</v>
      </c>
      <c r="J54" s="13" t="n">
        <f aca="false">IF(H54="","",ROUND(H54/(1+I54),2))</f>
        <v>24.55</v>
      </c>
      <c r="K54" s="14" t="n">
        <f aca="false">IF(G54&lt;&gt;"Disponibile","",IF(D54&gt;=EDATE(Parametri!$B$3,Parametri!$B$9),Parametri!$C$9,IF(D54&gt;=EDATE(Parametri!$B$3,Parametri!$B$10),Parametri!$C$10,Parametri!$C$11)))</f>
        <v>0.38</v>
      </c>
      <c r="L54" s="13" t="n">
        <f aca="false">IF(K54="","",ROUND(H54*(1-K54),2))</f>
        <v>16.74</v>
      </c>
      <c r="M54" s="13" t="n">
        <f aca="false">IF(K54="","",ROUND(L54/(1+I54),2))</f>
        <v>15.22</v>
      </c>
      <c r="N54" s="13" t="n">
        <f aca="false">IF(M54="","",E54*M54)</f>
        <v>15463.52</v>
      </c>
      <c r="O54" s="12" t="n">
        <v>1499</v>
      </c>
      <c r="P54" s="10" t="n">
        <f aca="false">SUMIF($A$2:$A$200,A54,$E$2:$E$200)</f>
        <v>1499</v>
      </c>
    </row>
    <row r="55" customFormat="false" ht="15" hidden="false" customHeight="false" outlineLevel="0" collapsed="false">
      <c r="A55" s="10" t="s">
        <v>153</v>
      </c>
      <c r="B55" s="10" t="s">
        <v>154</v>
      </c>
      <c r="C55" s="10" t="s">
        <v>155</v>
      </c>
      <c r="D55" s="11" t="n">
        <v>46996</v>
      </c>
      <c r="E55" s="12" t="n">
        <v>66</v>
      </c>
      <c r="F55" s="10" t="n">
        <f aca="false">IF(D55="","",ROUND((D55-Parametri!$B$3)/30.4375,1))</f>
        <v>23.1</v>
      </c>
      <c r="G55" s="10" t="str">
        <f aca="false">IF(P55&lt;&gt;O55,"Mancante temporaneamente (difformità)",IF(D55="","Mancante (senza scadenza)",IF(D55&lt;Parametri!$B$3,"Scaduto",IF(H55="","Prezzo mancante","Disponibile"))))</f>
        <v>Disponibile</v>
      </c>
      <c r="H55" s="13" t="n">
        <v>27</v>
      </c>
      <c r="I55" s="14" t="n">
        <f aca="false">Parametri!$B$4</f>
        <v>0.1</v>
      </c>
      <c r="J55" s="13" t="n">
        <f aca="false">IF(H55="","",ROUND(H55/(1+I55),2))</f>
        <v>24.55</v>
      </c>
      <c r="K55" s="14" t="n">
        <f aca="false">IF(G55&lt;&gt;"Disponibile","",IF(D55&gt;=EDATE(Parametri!$B$3,Parametri!$B$9),Parametri!$C$9,IF(D55&gt;=EDATE(Parametri!$B$3,Parametri!$B$10),Parametri!$C$10,Parametri!$C$11)))</f>
        <v>0.38</v>
      </c>
      <c r="L55" s="13" t="n">
        <f aca="false">IF(K55="","",ROUND(H55*(1-K55),2))</f>
        <v>16.74</v>
      </c>
      <c r="M55" s="13" t="n">
        <f aca="false">IF(K55="","",ROUND(L55/(1+I55),2))</f>
        <v>15.22</v>
      </c>
      <c r="N55" s="13" t="n">
        <f aca="false">IF(M55="","",E55*M55)</f>
        <v>1004.52</v>
      </c>
      <c r="O55" s="12" t="n">
        <v>1080</v>
      </c>
      <c r="P55" s="10" t="n">
        <f aca="false">SUMIF($A$2:$A$200,A55,$E$2:$E$200)</f>
        <v>1080</v>
      </c>
    </row>
    <row r="56" customFormat="false" ht="15" hidden="false" customHeight="false" outlineLevel="0" collapsed="false">
      <c r="A56" s="10" t="s">
        <v>153</v>
      </c>
      <c r="B56" s="10" t="s">
        <v>154</v>
      </c>
      <c r="C56" s="10" t="s">
        <v>156</v>
      </c>
      <c r="D56" s="11" t="n">
        <v>47299</v>
      </c>
      <c r="E56" s="12" t="n">
        <v>1014</v>
      </c>
      <c r="F56" s="10" t="n">
        <f aca="false">IF(D56="","",ROUND((D56-Parametri!$B$3)/30.4375,1))</f>
        <v>33.1</v>
      </c>
      <c r="G56" s="10" t="str">
        <f aca="false">IF(P56&lt;&gt;O56,"Mancante temporaneamente (difformità)",IF(D56="","Mancante (senza scadenza)",IF(D56&lt;Parametri!$B$3,"Scaduto",IF(H56="","Prezzo mancante","Disponibile"))))</f>
        <v>Disponibile</v>
      </c>
      <c r="H56" s="13" t="n">
        <v>27</v>
      </c>
      <c r="I56" s="14" t="n">
        <f aca="false">Parametri!$B$4</f>
        <v>0.1</v>
      </c>
      <c r="J56" s="13" t="n">
        <f aca="false">IF(H56="","",ROUND(H56/(1+I56),2))</f>
        <v>24.55</v>
      </c>
      <c r="K56" s="14" t="n">
        <f aca="false">IF(G56&lt;&gt;"Disponibile","",IF(D56&gt;=EDATE(Parametri!$B$3,Parametri!$B$9),Parametri!$C$9,IF(D56&gt;=EDATE(Parametri!$B$3,Parametri!$B$10),Parametri!$C$10,Parametri!$C$11)))</f>
        <v>0.38</v>
      </c>
      <c r="L56" s="13" t="n">
        <f aca="false">IF(K56="","",ROUND(H56*(1-K56),2))</f>
        <v>16.74</v>
      </c>
      <c r="M56" s="13" t="n">
        <f aca="false">IF(K56="","",ROUND(L56/(1+I56),2))</f>
        <v>15.22</v>
      </c>
      <c r="N56" s="13" t="n">
        <f aca="false">IF(M56="","",E56*M56)</f>
        <v>15433.08</v>
      </c>
      <c r="O56" s="12" t="n">
        <v>1080</v>
      </c>
      <c r="P56" s="10" t="n">
        <f aca="false">SUMIF($A$2:$A$200,A56,$E$2:$E$200)</f>
        <v>1080</v>
      </c>
    </row>
    <row r="57" customFormat="false" ht="15" hidden="false" customHeight="false" outlineLevel="0" collapsed="false">
      <c r="A57" s="10" t="s">
        <v>157</v>
      </c>
      <c r="B57" s="10" t="s">
        <v>158</v>
      </c>
      <c r="C57" s="10" t="s">
        <v>159</v>
      </c>
      <c r="D57" s="11" t="n">
        <v>46783</v>
      </c>
      <c r="E57" s="12" t="n">
        <v>788</v>
      </c>
      <c r="F57" s="10" t="n">
        <f aca="false">IF(D57="","",ROUND((D57-Parametri!$B$3)/30.4375,1))</f>
        <v>16.1</v>
      </c>
      <c r="G57" s="10" t="str">
        <f aca="false">IF(P57&lt;&gt;O57,"Mancante temporaneamente (difformità)",IF(D57="","Mancante (senza scadenza)",IF(D57&lt;Parametri!$B$3,"Scaduto",IF(H57="","Prezzo mancante","Disponibile"))))</f>
        <v>Disponibile</v>
      </c>
      <c r="H57" s="13" t="n">
        <v>22</v>
      </c>
      <c r="I57" s="14" t="n">
        <f aca="false">Parametri!$B$4</f>
        <v>0.1</v>
      </c>
      <c r="J57" s="13" t="n">
        <f aca="false">IF(H57="","",ROUND(H57/(1+I57),2))</f>
        <v>20</v>
      </c>
      <c r="K57" s="14" t="n">
        <f aca="false">IF(G57&lt;&gt;"Disponibile","",IF(D57&gt;=EDATE(Parametri!$B$3,Parametri!$B$9),Parametri!$C$9,IF(D57&gt;=EDATE(Parametri!$B$3,Parametri!$B$10),Parametri!$C$10,Parametri!$C$11)))</f>
        <v>0.38</v>
      </c>
      <c r="L57" s="13" t="n">
        <f aca="false">IF(K57="","",ROUND(H57*(1-K57),2))</f>
        <v>13.64</v>
      </c>
      <c r="M57" s="13" t="n">
        <f aca="false">IF(K57="","",ROUND(L57/(1+I57),2))</f>
        <v>12.4</v>
      </c>
      <c r="N57" s="13" t="n">
        <f aca="false">IF(M57="","",E57*M57)</f>
        <v>9771.2</v>
      </c>
      <c r="O57" s="12" t="n">
        <v>788</v>
      </c>
      <c r="P57" s="10" t="n">
        <f aca="false">SUMIF($A$2:$A$200,A57,$E$2:$E$200)</f>
        <v>788</v>
      </c>
    </row>
    <row r="58" customFormat="false" ht="15" hidden="false" customHeight="false" outlineLevel="0" collapsed="false">
      <c r="A58" s="10" t="s">
        <v>160</v>
      </c>
      <c r="B58" s="10" t="s">
        <v>161</v>
      </c>
      <c r="C58" s="10" t="s">
        <v>162</v>
      </c>
      <c r="D58" s="11" t="n">
        <v>46812</v>
      </c>
      <c r="E58" s="12" t="n">
        <v>579</v>
      </c>
      <c r="F58" s="10" t="n">
        <f aca="false">IF(D58="","",ROUND((D58-Parametri!$B$3)/30.4375,1))</f>
        <v>17.1</v>
      </c>
      <c r="G58" s="10" t="str">
        <f aca="false">IF(P58&lt;&gt;O58,"Mancante temporaneamente (difformità)",IF(D58="","Mancante (senza scadenza)",IF(D58&lt;Parametri!$B$3,"Scaduto",IF(H58="","Prezzo mancante","Disponibile"))))</f>
        <v>Disponibile</v>
      </c>
      <c r="H58" s="13" t="n">
        <v>22</v>
      </c>
      <c r="I58" s="14" t="n">
        <f aca="false">Parametri!$B$4</f>
        <v>0.1</v>
      </c>
      <c r="J58" s="13" t="n">
        <f aca="false">IF(H58="","",ROUND(H58/(1+I58),2))</f>
        <v>20</v>
      </c>
      <c r="K58" s="14" t="n">
        <f aca="false">IF(G58&lt;&gt;"Disponibile","",IF(D58&gt;=EDATE(Parametri!$B$3,Parametri!$B$9),Parametri!$C$9,IF(D58&gt;=EDATE(Parametri!$B$3,Parametri!$B$10),Parametri!$C$10,Parametri!$C$11)))</f>
        <v>0.38</v>
      </c>
      <c r="L58" s="13" t="n">
        <f aca="false">IF(K58="","",ROUND(H58*(1-K58),2))</f>
        <v>13.64</v>
      </c>
      <c r="M58" s="13" t="n">
        <f aca="false">IF(K58="","",ROUND(L58/(1+I58),2))</f>
        <v>12.4</v>
      </c>
      <c r="N58" s="13" t="n">
        <f aca="false">IF(M58="","",E58*M58)</f>
        <v>7179.6</v>
      </c>
      <c r="O58" s="12" t="n">
        <v>579</v>
      </c>
      <c r="P58" s="10" t="n">
        <f aca="false">SUMIF($A$2:$A$200,A58,$E$2:$E$200)</f>
        <v>579</v>
      </c>
    </row>
    <row r="59" customFormat="false" ht="15" hidden="false" customHeight="false" outlineLevel="0" collapsed="false">
      <c r="A59" s="10" t="s">
        <v>163</v>
      </c>
      <c r="B59" s="10" t="s">
        <v>164</v>
      </c>
      <c r="C59" s="10" t="s">
        <v>165</v>
      </c>
      <c r="D59" s="11" t="n">
        <v>46568</v>
      </c>
      <c r="E59" s="12" t="n">
        <v>904</v>
      </c>
      <c r="F59" s="10" t="n">
        <f aca="false">IF(D59="","",ROUND((D59-Parametri!$B$3)/30.4375,1))</f>
        <v>9</v>
      </c>
      <c r="G59" s="10" t="str">
        <f aca="false">IF(P59&lt;&gt;O59,"Mancante temporaneamente (difformità)",IF(D59="","Mancante (senza scadenza)",IF(D59&lt;Parametri!$B$3,"Scaduto",IF(H59="","Prezzo mancante","Disponibile"))))</f>
        <v>Prezzo mancante</v>
      </c>
      <c r="H59" s="13"/>
      <c r="I59" s="14" t="n">
        <f aca="false">Parametri!$B$4</f>
        <v>0.1</v>
      </c>
      <c r="J59" s="13" t="str">
        <f aca="false">IF(H59="","",ROUND(H59/(1+I59),2))</f>
        <v/>
      </c>
      <c r="K59" s="14" t="str">
        <f aca="false">IF(G59&lt;&gt;"Disponibile","",IF(D59&gt;=EDATE(Parametri!$B$3,Parametri!$B$9),Parametri!$C$9,IF(D59&gt;=EDATE(Parametri!$B$3,Parametri!$B$10),Parametri!$C$10,Parametri!$C$11)))</f>
        <v/>
      </c>
      <c r="L59" s="13" t="str">
        <f aca="false">IF(K59="","",ROUND(H59*(1-K59),2))</f>
        <v/>
      </c>
      <c r="M59" s="13" t="str">
        <f aca="false">IF(K59="","",ROUND(L59/(1+I59),2))</f>
        <v/>
      </c>
      <c r="N59" s="13" t="str">
        <f aca="false">IF(M59="","",E59*M59)</f>
        <v/>
      </c>
      <c r="O59" s="12" t="n">
        <v>904</v>
      </c>
      <c r="P59" s="10" t="n">
        <f aca="false">SUMIF($A$2:$A$200,A59,$E$2:$E$200)</f>
        <v>904</v>
      </c>
    </row>
    <row r="60" customFormat="false" ht="15" hidden="false" customHeight="false" outlineLevel="0" collapsed="false">
      <c r="A60" s="10" t="s">
        <v>166</v>
      </c>
      <c r="B60" s="10" t="s">
        <v>167</v>
      </c>
      <c r="C60" s="10" t="s">
        <v>168</v>
      </c>
      <c r="D60" s="11" t="n">
        <v>47118</v>
      </c>
      <c r="E60" s="12" t="n">
        <v>1972</v>
      </c>
      <c r="F60" s="10" t="n">
        <f aca="false">IF(D60="","",ROUND((D60-Parametri!$B$3)/30.4375,1))</f>
        <v>27.1</v>
      </c>
      <c r="G60" s="10" t="str">
        <f aca="false">IF(P60&lt;&gt;O60,"Mancante temporaneamente (difformità)",IF(D60="","Mancante (senza scadenza)",IF(D60&lt;Parametri!$B$3,"Scaduto",IF(H60="","Prezzo mancante","Disponibile"))))</f>
        <v>Disponibile</v>
      </c>
      <c r="H60" s="13" t="n">
        <v>31</v>
      </c>
      <c r="I60" s="14" t="n">
        <f aca="false">Parametri!$B$4</f>
        <v>0.1</v>
      </c>
      <c r="J60" s="13" t="n">
        <f aca="false">IF(H60="","",ROUND(H60/(1+I60),2))</f>
        <v>28.18</v>
      </c>
      <c r="K60" s="14" t="n">
        <f aca="false">IF(G60&lt;&gt;"Disponibile","",IF(D60&gt;=EDATE(Parametri!$B$3,Parametri!$B$9),Parametri!$C$9,IF(D60&gt;=EDATE(Parametri!$B$3,Parametri!$B$10),Parametri!$C$10,Parametri!$C$11)))</f>
        <v>0.38</v>
      </c>
      <c r="L60" s="13" t="n">
        <f aca="false">IF(K60="","",ROUND(H60*(1-K60),2))</f>
        <v>19.22</v>
      </c>
      <c r="M60" s="13" t="n">
        <f aca="false">IF(K60="","",ROUND(L60/(1+I60),2))</f>
        <v>17.47</v>
      </c>
      <c r="N60" s="13" t="n">
        <f aca="false">IF(M60="","",E60*M60)</f>
        <v>34450.84</v>
      </c>
      <c r="O60" s="12" t="n">
        <v>1972</v>
      </c>
      <c r="P60" s="10" t="n">
        <f aca="false">SUMIF($A$2:$A$200,A60,$E$2:$E$200)</f>
        <v>1972</v>
      </c>
    </row>
    <row r="61" customFormat="false" ht="15" hidden="false" customHeight="false" outlineLevel="0" collapsed="false">
      <c r="A61" s="10" t="s">
        <v>169</v>
      </c>
      <c r="B61" s="10" t="s">
        <v>170</v>
      </c>
      <c r="C61" s="10" t="s">
        <v>171</v>
      </c>
      <c r="D61" s="11" t="n">
        <v>47391</v>
      </c>
      <c r="E61" s="12" t="n">
        <v>817</v>
      </c>
      <c r="F61" s="10" t="n">
        <f aca="false">IF(D61="","",ROUND((D61-Parametri!$B$3)/30.4375,1))</f>
        <v>36.1</v>
      </c>
      <c r="G61" s="10" t="str">
        <f aca="false">IF(P61&lt;&gt;O61,"Mancante temporaneamente (difformità)",IF(D61="","Mancante (senza scadenza)",IF(D61&lt;Parametri!$B$3,"Scaduto",IF(H61="","Prezzo mancante","Disponibile"))))</f>
        <v>Disponibile</v>
      </c>
      <c r="H61" s="13" t="n">
        <v>28</v>
      </c>
      <c r="I61" s="14" t="n">
        <f aca="false">Parametri!$B$4</f>
        <v>0.1</v>
      </c>
      <c r="J61" s="13" t="n">
        <f aca="false">IF(H61="","",ROUND(H61/(1+I61),2))</f>
        <v>25.45</v>
      </c>
      <c r="K61" s="14" t="n">
        <f aca="false">IF(G61&lt;&gt;"Disponibile","",IF(D61&gt;=EDATE(Parametri!$B$3,Parametri!$B$9),Parametri!$C$9,IF(D61&gt;=EDATE(Parametri!$B$3,Parametri!$B$10),Parametri!$C$10,Parametri!$C$11)))</f>
        <v>0.38</v>
      </c>
      <c r="L61" s="13" t="n">
        <f aca="false">IF(K61="","",ROUND(H61*(1-K61),2))</f>
        <v>17.36</v>
      </c>
      <c r="M61" s="13" t="n">
        <f aca="false">IF(K61="","",ROUND(L61/(1+I61),2))</f>
        <v>15.78</v>
      </c>
      <c r="N61" s="13" t="n">
        <f aca="false">IF(M61="","",E61*M61)</f>
        <v>12892.26</v>
      </c>
      <c r="O61" s="12" t="n">
        <v>2827</v>
      </c>
      <c r="P61" s="10" t="n">
        <f aca="false">SUMIF($A$2:$A$200,A61,$E$2:$E$200)</f>
        <v>2827</v>
      </c>
    </row>
    <row r="62" customFormat="false" ht="15" hidden="false" customHeight="false" outlineLevel="0" collapsed="false">
      <c r="A62" s="10" t="s">
        <v>169</v>
      </c>
      <c r="B62" s="10" t="s">
        <v>170</v>
      </c>
      <c r="C62" s="10" t="s">
        <v>172</v>
      </c>
      <c r="D62" s="11" t="n">
        <v>47269</v>
      </c>
      <c r="E62" s="12" t="n">
        <v>2010</v>
      </c>
      <c r="F62" s="10" t="n">
        <f aca="false">IF(D62="","",ROUND((D62-Parametri!$B$3)/30.4375,1))</f>
        <v>32.1</v>
      </c>
      <c r="G62" s="10" t="str">
        <f aca="false">IF(P62&lt;&gt;O62,"Mancante temporaneamente (difformità)",IF(D62="","Mancante (senza scadenza)",IF(D62&lt;Parametri!$B$3,"Scaduto",IF(H62="","Prezzo mancante","Disponibile"))))</f>
        <v>Disponibile</v>
      </c>
      <c r="H62" s="13" t="n">
        <v>28</v>
      </c>
      <c r="I62" s="14" t="n">
        <f aca="false">Parametri!$B$4</f>
        <v>0.1</v>
      </c>
      <c r="J62" s="13" t="n">
        <f aca="false">IF(H62="","",ROUND(H62/(1+I62),2))</f>
        <v>25.45</v>
      </c>
      <c r="K62" s="14" t="n">
        <f aca="false">IF(G62&lt;&gt;"Disponibile","",IF(D62&gt;=EDATE(Parametri!$B$3,Parametri!$B$9),Parametri!$C$9,IF(D62&gt;=EDATE(Parametri!$B$3,Parametri!$B$10),Parametri!$C$10,Parametri!$C$11)))</f>
        <v>0.38</v>
      </c>
      <c r="L62" s="13" t="n">
        <f aca="false">IF(K62="","",ROUND(H62*(1-K62),2))</f>
        <v>17.36</v>
      </c>
      <c r="M62" s="13" t="n">
        <f aca="false">IF(K62="","",ROUND(L62/(1+I62),2))</f>
        <v>15.78</v>
      </c>
      <c r="N62" s="13" t="n">
        <f aca="false">IF(M62="","",E62*M62)</f>
        <v>31717.8</v>
      </c>
      <c r="O62" s="12" t="n">
        <v>2827</v>
      </c>
      <c r="P62" s="10" t="n">
        <f aca="false">SUMIF($A$2:$A$200,A62,$E$2:$E$200)</f>
        <v>2827</v>
      </c>
    </row>
    <row r="63" customFormat="false" ht="15" hidden="false" customHeight="false" outlineLevel="0" collapsed="false">
      <c r="A63" s="10" t="s">
        <v>173</v>
      </c>
      <c r="B63" s="10" t="s">
        <v>174</v>
      </c>
      <c r="C63" s="10" t="s">
        <v>175</v>
      </c>
      <c r="D63" s="11" t="n">
        <v>46356</v>
      </c>
      <c r="E63" s="12" t="n">
        <v>874</v>
      </c>
      <c r="F63" s="10" t="n">
        <f aca="false">IF(D63="","",ROUND((D63-Parametri!$B$3)/30.4375,1))</f>
        <v>2.1</v>
      </c>
      <c r="G63" s="10" t="str">
        <f aca="false">IF(P63&lt;&gt;O63,"Mancante temporaneamente (difformità)",IF(D63="","Mancante (senza scadenza)",IF(D63&lt;Parametri!$B$3,"Scaduto",IF(H63="","Prezzo mancante","Disponibile"))))</f>
        <v>Disponibile</v>
      </c>
      <c r="H63" s="13" t="n">
        <v>30</v>
      </c>
      <c r="I63" s="14" t="n">
        <f aca="false">Parametri!$B$4</f>
        <v>0.1</v>
      </c>
      <c r="J63" s="13" t="n">
        <f aca="false">IF(H63="","",ROUND(H63/(1+I63),2))</f>
        <v>27.27</v>
      </c>
      <c r="K63" s="14" t="n">
        <f aca="false">IF(G63&lt;&gt;"Disponibile","",IF(D63&gt;=EDATE(Parametri!$B$3,Parametri!$B$9),Parametri!$C$9,IF(D63&gt;=EDATE(Parametri!$B$3,Parametri!$B$10),Parametri!$C$10,Parametri!$C$11)))</f>
        <v>0.45</v>
      </c>
      <c r="L63" s="13" t="n">
        <f aca="false">IF(K63="","",ROUND(H63*(1-K63),2))</f>
        <v>16.5</v>
      </c>
      <c r="M63" s="13" t="n">
        <f aca="false">IF(K63="","",ROUND(L63/(1+I63),2))</f>
        <v>15</v>
      </c>
      <c r="N63" s="13" t="n">
        <f aca="false">IF(M63="","",E63*M63)</f>
        <v>13110</v>
      </c>
      <c r="O63" s="12" t="n">
        <v>874</v>
      </c>
      <c r="P63" s="10" t="n">
        <f aca="false">SUMIF($A$2:$A$200,A63,$E$2:$E$200)</f>
        <v>874</v>
      </c>
    </row>
    <row r="64" customFormat="false" ht="15" hidden="false" customHeight="false" outlineLevel="0" collapsed="false">
      <c r="A64" s="10" t="s">
        <v>176</v>
      </c>
      <c r="B64" s="10" t="s">
        <v>177</v>
      </c>
      <c r="C64" s="10" t="s">
        <v>83</v>
      </c>
      <c r="D64" s="11" t="n">
        <v>47269</v>
      </c>
      <c r="E64" s="12" t="n">
        <v>291</v>
      </c>
      <c r="F64" s="10" t="n">
        <f aca="false">IF(D64="","",ROUND((D64-Parametri!$B$3)/30.4375,1))</f>
        <v>32.1</v>
      </c>
      <c r="G64" s="10" t="str">
        <f aca="false">IF(P64&lt;&gt;O64,"Mancante temporaneamente (difformità)",IF(D64="","Mancante (senza scadenza)",IF(D64&lt;Parametri!$B$3,"Scaduto",IF(H64="","Prezzo mancante","Disponibile"))))</f>
        <v>Disponibile</v>
      </c>
      <c r="H64" s="13" t="n">
        <v>22.5</v>
      </c>
      <c r="I64" s="14" t="n">
        <f aca="false">Parametri!$B$4</f>
        <v>0.1</v>
      </c>
      <c r="J64" s="13" t="n">
        <f aca="false">IF(H64="","",ROUND(H64/(1+I64),2))</f>
        <v>20.45</v>
      </c>
      <c r="K64" s="14" t="n">
        <f aca="false">IF(G64&lt;&gt;"Disponibile","",IF(D64&gt;=EDATE(Parametri!$B$3,Parametri!$B$9),Parametri!$C$9,IF(D64&gt;=EDATE(Parametri!$B$3,Parametri!$B$10),Parametri!$C$10,Parametri!$C$11)))</f>
        <v>0.38</v>
      </c>
      <c r="L64" s="13" t="n">
        <f aca="false">IF(K64="","",ROUND(H64*(1-K64),2))</f>
        <v>13.95</v>
      </c>
      <c r="M64" s="13" t="n">
        <f aca="false">IF(K64="","",ROUND(L64/(1+I64),2))</f>
        <v>12.68</v>
      </c>
      <c r="N64" s="13" t="n">
        <f aca="false">IF(M64="","",E64*M64)</f>
        <v>3689.88</v>
      </c>
      <c r="O64" s="12" t="n">
        <v>291</v>
      </c>
      <c r="P64" s="10" t="n">
        <f aca="false">SUMIF($A$2:$A$200,A64,$E$2:$E$200)</f>
        <v>291</v>
      </c>
    </row>
    <row r="65" customFormat="false" ht="15" hidden="false" customHeight="false" outlineLevel="0" collapsed="false">
      <c r="A65" s="10" t="s">
        <v>178</v>
      </c>
      <c r="B65" s="10" t="s">
        <v>179</v>
      </c>
      <c r="C65" s="10" t="s">
        <v>180</v>
      </c>
      <c r="D65" s="11" t="n">
        <v>46752</v>
      </c>
      <c r="E65" s="12" t="n">
        <v>949</v>
      </c>
      <c r="F65" s="10" t="n">
        <f aca="false">IF(D65="","",ROUND((D65-Parametri!$B$3)/30.4375,1))</f>
        <v>15.1</v>
      </c>
      <c r="G65" s="10" t="str">
        <f aca="false">IF(P65&lt;&gt;O65,"Mancante temporaneamente (difformità)",IF(D65="","Mancante (senza scadenza)",IF(D65&lt;Parametri!$B$3,"Scaduto",IF(H65="","Prezzo mancante","Disponibile"))))</f>
        <v>Prezzo mancante</v>
      </c>
      <c r="H65" s="13"/>
      <c r="I65" s="14" t="n">
        <f aca="false">Parametri!$B$4</f>
        <v>0.1</v>
      </c>
      <c r="J65" s="13" t="str">
        <f aca="false">IF(H65="","",ROUND(H65/(1+I65),2))</f>
        <v/>
      </c>
      <c r="K65" s="14" t="str">
        <f aca="false">IF(G65&lt;&gt;"Disponibile","",IF(D65&gt;=EDATE(Parametri!$B$3,Parametri!$B$9),Parametri!$C$9,IF(D65&gt;=EDATE(Parametri!$B$3,Parametri!$B$10),Parametri!$C$10,Parametri!$C$11)))</f>
        <v/>
      </c>
      <c r="L65" s="13" t="str">
        <f aca="false">IF(K65="","",ROUND(H65*(1-K65),2))</f>
        <v/>
      </c>
      <c r="M65" s="13" t="str">
        <f aca="false">IF(K65="","",ROUND(L65/(1+I65),2))</f>
        <v/>
      </c>
      <c r="N65" s="13" t="str">
        <f aca="false">IF(M65="","",E65*M65)</f>
        <v/>
      </c>
      <c r="O65" s="12" t="n">
        <v>949</v>
      </c>
      <c r="P65" s="10" t="n">
        <f aca="false">SUMIF($A$2:$A$200,A65,$E$2:$E$200)</f>
        <v>949</v>
      </c>
    </row>
    <row r="67" customFormat="false" ht="15" hidden="false" customHeight="false" outlineLevel="0" collapsed="false">
      <c r="A67" s="6" t="s">
        <v>181</v>
      </c>
      <c r="E67" s="6" t="n">
        <f aca="false">SUM(E2:E65)</f>
        <v>90297</v>
      </c>
      <c r="N67" s="15" t="n">
        <f aca="false">SUM(N2:N65)</f>
        <v>1324998.49</v>
      </c>
    </row>
    <row r="68" customFormat="false" ht="15" hidden="false" customHeight="false" outlineLevel="0" collapsed="false">
      <c r="A68" s="4" t="s">
        <v>182</v>
      </c>
    </row>
  </sheetData>
  <autoFilter ref="A1:P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4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7" t="s">
        <v>16</v>
      </c>
      <c r="B1" s="7" t="s">
        <v>183</v>
      </c>
      <c r="C1" s="7" t="s">
        <v>184</v>
      </c>
    </row>
    <row r="2" customFormat="false" ht="15" hidden="false" customHeight="false" outlineLevel="0" collapsed="false">
      <c r="A2" s="2" t="s">
        <v>53</v>
      </c>
      <c r="B2" s="2" t="s">
        <v>185</v>
      </c>
      <c r="C2" s="2" t="s">
        <v>186</v>
      </c>
    </row>
    <row r="3" customFormat="false" ht="15" hidden="false" customHeight="false" outlineLevel="0" collapsed="false">
      <c r="A3" s="2" t="s">
        <v>187</v>
      </c>
      <c r="B3" s="2" t="s">
        <v>188</v>
      </c>
      <c r="C3" s="2" t="s">
        <v>189</v>
      </c>
    </row>
    <row r="4" customFormat="false" ht="15" hidden="false" customHeight="false" outlineLevel="0" collapsed="false">
      <c r="A4" s="2" t="s">
        <v>190</v>
      </c>
      <c r="B4" s="2" t="s">
        <v>188</v>
      </c>
      <c r="C4" s="2" t="s">
        <v>189</v>
      </c>
    </row>
    <row r="5" customFormat="false" ht="15" hidden="false" customHeight="false" outlineLevel="0" collapsed="false">
      <c r="A5" s="2" t="s">
        <v>68</v>
      </c>
      <c r="B5" s="2" t="s">
        <v>191</v>
      </c>
      <c r="C5" s="2" t="s">
        <v>192</v>
      </c>
    </row>
    <row r="6" customFormat="false" ht="15" hidden="false" customHeight="false" outlineLevel="0" collapsed="false">
      <c r="A6" s="2" t="s">
        <v>108</v>
      </c>
      <c r="B6" s="2" t="s">
        <v>191</v>
      </c>
      <c r="C6" s="2" t="s">
        <v>192</v>
      </c>
    </row>
    <row r="7" customFormat="false" ht="15" hidden="false" customHeight="false" outlineLevel="0" collapsed="false">
      <c r="A7" s="2" t="s">
        <v>111</v>
      </c>
      <c r="B7" s="2" t="s">
        <v>191</v>
      </c>
      <c r="C7" s="2" t="s">
        <v>192</v>
      </c>
    </row>
    <row r="8" customFormat="false" ht="15" hidden="false" customHeight="false" outlineLevel="0" collapsed="false">
      <c r="A8" s="2" t="s">
        <v>133</v>
      </c>
      <c r="B8" s="2" t="s">
        <v>191</v>
      </c>
      <c r="C8" s="2" t="s">
        <v>192</v>
      </c>
    </row>
    <row r="9" customFormat="false" ht="15" hidden="false" customHeight="false" outlineLevel="0" collapsed="false">
      <c r="A9" s="2" t="s">
        <v>164</v>
      </c>
      <c r="B9" s="2" t="s">
        <v>191</v>
      </c>
      <c r="C9" s="2" t="s">
        <v>192</v>
      </c>
    </row>
    <row r="10" customFormat="false" ht="15" hidden="false" customHeight="false" outlineLevel="0" collapsed="false">
      <c r="A10" s="2" t="s">
        <v>179</v>
      </c>
      <c r="B10" s="2" t="s">
        <v>191</v>
      </c>
      <c r="C10" s="2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2026-09-28T04:40:04Z</dcterms:created>
  <dc:creator>openpyxl</dc:creator>
  <dc:description/>
  <dc:language>en-US</dc:language>
  <cp:lastModifiedBy/>
  <dcterms:modified xsi:type="dcterms:W3CDTF">2026-09-28T04:40:04Z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